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Eng.Ali\Courses\DEPI\Final_Project\1. Project Planning &amp; Management\"/>
    </mc:Choice>
  </mc:AlternateContent>
  <xr:revisionPtr revIDLastSave="0" documentId="13_ncr:1_{B231518C-0953-475A-BF56-3E6ECD0D67A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Gantt Chart" sheetId="1" r:id="rId1"/>
    <sheet name="By Person" sheetId="2" r:id="rId2"/>
    <sheet name="Weekly Plan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3" i="2" l="1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8" i="2"/>
  <c r="G57" i="2"/>
  <c r="G56" i="2"/>
  <c r="G55" i="2"/>
  <c r="G54" i="2"/>
  <c r="G53" i="2"/>
  <c r="G52" i="2"/>
  <c r="G51" i="2"/>
  <c r="G50" i="2"/>
  <c r="G49" i="2"/>
  <c r="G47" i="2"/>
  <c r="G46" i="2"/>
  <c r="G45" i="2"/>
  <c r="G44" i="2"/>
  <c r="G43" i="2"/>
  <c r="G42" i="2"/>
  <c r="G41" i="2"/>
  <c r="G40" i="2"/>
  <c r="G39" i="2"/>
  <c r="G38" i="2"/>
  <c r="G36" i="2"/>
  <c r="G35" i="2"/>
  <c r="G34" i="2"/>
  <c r="G33" i="2"/>
  <c r="G32" i="2"/>
  <c r="G31" i="2"/>
  <c r="G30" i="2"/>
  <c r="G29" i="2"/>
  <c r="G28" i="2"/>
  <c r="G27" i="2"/>
  <c r="G26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L5" i="2"/>
  <c r="M5" i="2" s="1"/>
  <c r="N5" i="2" s="1"/>
  <c r="O5" i="2" s="1"/>
  <c r="P5" i="2" s="1"/>
  <c r="Q5" i="2" s="1"/>
  <c r="R5" i="2" s="1"/>
  <c r="K5" i="2"/>
  <c r="J5" i="2"/>
  <c r="I74" i="1"/>
  <c r="F74" i="1"/>
  <c r="I73" i="1"/>
  <c r="F73" i="1"/>
  <c r="I72" i="1"/>
  <c r="F72" i="1"/>
  <c r="I71" i="1"/>
  <c r="F71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J5" i="1"/>
  <c r="J74" i="1" s="1"/>
  <c r="J73" i="1" l="1"/>
  <c r="J72" i="1"/>
  <c r="K5" i="1"/>
  <c r="J71" i="1"/>
  <c r="K71" i="1" l="1"/>
  <c r="L5" i="1"/>
  <c r="K72" i="1"/>
  <c r="K73" i="1"/>
  <c r="K74" i="1"/>
  <c r="L72" i="1" l="1"/>
  <c r="M5" i="1"/>
  <c r="L73" i="1"/>
  <c r="L71" i="1"/>
  <c r="L74" i="1"/>
  <c r="M73" i="1" l="1"/>
  <c r="M74" i="1"/>
  <c r="M71" i="1"/>
  <c r="N5" i="1"/>
  <c r="M72" i="1"/>
  <c r="N74" i="1" l="1"/>
  <c r="N71" i="1"/>
  <c r="N72" i="1"/>
  <c r="O5" i="1"/>
  <c r="N73" i="1"/>
  <c r="O71" i="1" l="1"/>
  <c r="O72" i="1"/>
  <c r="P5" i="1"/>
  <c r="O73" i="1"/>
  <c r="O74" i="1"/>
  <c r="P72" i="1" l="1"/>
  <c r="Q5" i="1"/>
  <c r="P71" i="1"/>
  <c r="P73" i="1"/>
  <c r="P74" i="1"/>
  <c r="Q73" i="1" l="1"/>
  <c r="R5" i="1"/>
  <c r="Q74" i="1"/>
  <c r="Q71" i="1"/>
  <c r="Q72" i="1"/>
  <c r="R74" i="1" l="1"/>
  <c r="R71" i="1"/>
  <c r="R72" i="1"/>
  <c r="R73" i="1"/>
</calcChain>
</file>

<file path=xl/sharedStrings.xml><?xml version="1.0" encoding="utf-8"?>
<sst xmlns="http://schemas.openxmlformats.org/spreadsheetml/2006/main" count="635" uniqueCount="170">
  <si>
    <t>Conflict Intelligence – Project Plan (Gantt Chart)</t>
  </si>
  <si>
    <t>Ali Hamdy +MIN5_DATA3_S1</t>
  </si>
  <si>
    <t>All 63 tasks with their owner. Edit the blue Start/End dates and the bars move automatically. Week columns start from the date in I5 (a Monday). Bar colour = owner.</t>
  </si>
  <si>
    <t>Bar colour = owner:</t>
  </si>
  <si>
    <t>Ali</t>
  </si>
  <si>
    <t>Salma</t>
  </si>
  <si>
    <t>Sara</t>
  </si>
  <si>
    <t>Yasmeen</t>
  </si>
  <si>
    <t>Jessy</t>
  </si>
  <si>
    <t>#</t>
  </si>
  <si>
    <t>Phase</t>
  </si>
  <si>
    <t>Task</t>
  </si>
  <si>
    <t>Owner</t>
  </si>
  <si>
    <t>Start</t>
  </si>
  <si>
    <t>End</t>
  </si>
  <si>
    <t>Days</t>
  </si>
  <si>
    <t>Status</t>
  </si>
  <si>
    <t>Planning</t>
  </si>
  <si>
    <t>GitHub Organization (repository, branching, commit &amp; PR rules)</t>
  </si>
  <si>
    <t>Not Started</t>
  </si>
  <si>
    <t>Literature Review &amp; Gap Analysis</t>
  </si>
  <si>
    <t>Project Plan &amp; Gantt Chart</t>
  </si>
  <si>
    <t>Project Proposal (problem statement, objectives, scope, expected outcomes)</t>
  </si>
  <si>
    <t>Task Assignment &amp; Roles</t>
  </si>
  <si>
    <t>Risk Assessment &amp; Mitigation Plan</t>
  </si>
  <si>
    <t>Project KPIs (project success KPIs document)</t>
  </si>
  <si>
    <t>Dataset Documentation &amp; Data Dictionary</t>
  </si>
  <si>
    <t>Requirements Gathering (stakeholders, functional &amp; non-functional requirements)</t>
  </si>
  <si>
    <t>Lecturer Feedback &amp; Grading Criteria (ongoing: request now, update after each review)</t>
  </si>
  <si>
    <t>Team Follow-up (weekly check-in, handoffs, status)</t>
  </si>
  <si>
    <t>Design</t>
  </si>
  <si>
    <t>Data Quality Assessment &amp; Data Quality Report</t>
  </si>
  <si>
    <t>Architecture &amp; Technology Stack</t>
  </si>
  <si>
    <t>Database Design (ER Diagram, Logical &amp; Physical Schema)</t>
  </si>
  <si>
    <t>Data Cleaning &amp; Preparation (v0 on 16 Oct, v1 on 23 Oct, final on 30 Oct)</t>
  </si>
  <si>
    <t>Analytical Questions &amp; KPI Design (shortlist on 23 Oct; whole team contributes)</t>
  </si>
  <si>
    <t>QA: Testing Plan</t>
  </si>
  <si>
    <t>Problem Statement Support, Use Case Diagram &amp; Use Case Descriptions</t>
  </si>
  <si>
    <t>DFD, Sequence, Activity, State &amp; Class Diagrams</t>
  </si>
  <si>
    <t>Business Rules &amp; KPI Definitions</t>
  </si>
  <si>
    <t>Wireframes, Mockups &amp; UI/UX Guidelines</t>
  </si>
  <si>
    <t>Component Diagram, Deployment Diagram &amp; Deployment Strategy</t>
  </si>
  <si>
    <t>Implementation</t>
  </si>
  <si>
    <t>Python EDA</t>
  </si>
  <si>
    <t>SQL Analysis (CTEs, window functions, subqueries, ranking, aggregations)</t>
  </si>
  <si>
    <t>Statistical Analysis</t>
  </si>
  <si>
    <t>Time-Series, Trend &amp; Seasonality Analysis</t>
  </si>
  <si>
    <t>Geographic / Spatial Analysis (including geographic SQL)</t>
  </si>
  <si>
    <t>SQL Analytical Views</t>
  </si>
  <si>
    <t>Power Query &amp; Power BI Data Model</t>
  </si>
  <si>
    <t>Database &amp; Data Model Validation</t>
  </si>
  <si>
    <t>Power BI Data Modeling, Power Query &amp; DAX Support and Validation</t>
  </si>
  <si>
    <t>Tableau Dashboard Development (calculated fields, filters, actions, geographic visualization, UX)</t>
  </si>
  <si>
    <t>SQL Data Validation</t>
  </si>
  <si>
    <t>Power BI Dashboard Development (slicers, drill-through, tooltips, bookmarks, navigation, UX, performance)</t>
  </si>
  <si>
    <t>Advanced DAX Measures &amp; KPI Implementation</t>
  </si>
  <si>
    <t>QA: Test Cases</t>
  </si>
  <si>
    <t>Python Documentation</t>
  </si>
  <si>
    <t>README</t>
  </si>
  <si>
    <t>SQL Documentation</t>
  </si>
  <si>
    <t>Cross-Tool Validation (SQL = Python = Power BI = Tableau)</t>
  </si>
  <si>
    <t>Database Documentation</t>
  </si>
  <si>
    <t>Source Code Quality &amp; Code Review</t>
  </si>
  <si>
    <t>Dashboard Insights &amp; Recommendations</t>
  </si>
  <si>
    <t>Power BI Documentation</t>
  </si>
  <si>
    <t>Analytical Results (consolidation of findings, key insights, recommendations)</t>
  </si>
  <si>
    <t>Packaged Final Files</t>
  </si>
  <si>
    <t>Final</t>
  </si>
  <si>
    <t>QA: Bug Tracking &amp; Resolution Verification</t>
  </si>
  <si>
    <t>Tableau / Requirements / QA Documentation and Final Documentation Structure</t>
  </si>
  <si>
    <t>Testing: Python, Data Quality &amp; Cleaning (own area)</t>
  </si>
  <si>
    <t>Technical Documentation (with Jessy's support)</t>
  </si>
  <si>
    <t>Testing: SQL &amp; Geographic Analysis (own area)</t>
  </si>
  <si>
    <t>Power BI KPI Validation &amp; Dashboard Testing (own area)</t>
  </si>
  <si>
    <t>Testing: Database &amp; Data Model (own area)</t>
  </si>
  <si>
    <t>Final Project Report</t>
  </si>
  <si>
    <t>Tableau Validation (own area)</t>
  </si>
  <si>
    <t>User Manual (Power BI and Tableau dashboards) – provisional owner</t>
  </si>
  <si>
    <t>Analytical Results Validation, Limitations &amp; Future Analysis</t>
  </si>
  <si>
    <t>QA: End-to-End Testing</t>
  </si>
  <si>
    <t>QA: Dashboard Usability Testing</t>
  </si>
  <si>
    <t>Final Integration &amp; Consistency Check</t>
  </si>
  <si>
    <t>Final Presentation (PPT/PDF)</t>
  </si>
  <si>
    <t>QA: Reproducibility Testing</t>
  </si>
  <si>
    <t>Video Demonstration (optional)</t>
  </si>
  <si>
    <t>Milestones (official deadlines)</t>
  </si>
  <si>
    <t>◆</t>
  </si>
  <si>
    <t>Milestone</t>
  </si>
  <si>
    <t>Planning, Literature Review &amp; Requirements due</t>
  </si>
  <si>
    <t>Deadline</t>
  </si>
  <si>
    <t>System Analysis &amp; Design due</t>
  </si>
  <si>
    <t>Implementation (Source Code &amp; Execution) due</t>
  </si>
  <si>
    <t>Final Presentation, Testing &amp; Reports due</t>
  </si>
  <si>
    <t>The same Gantt chart grouped by person: each member sees only his or her own tasks. # is the task number in the 'Gantt Chart' sheet.</t>
  </si>
  <si>
    <t>Ali  –  Team Lead + Python / Data Analysis</t>
  </si>
  <si>
    <t>Salma  –  SQL + Geographic Analysis + Data Validation</t>
  </si>
  <si>
    <t>Sara  –  Power BI + KPI &amp; Dashboard Analytics</t>
  </si>
  <si>
    <t>Yasmeen  –  Database Design + BI Data Modeling + Analytical Results</t>
  </si>
  <si>
    <t>Jessy  –  Tableau + Requirements + QA &amp; Documentation</t>
  </si>
  <si>
    <t>Weekly Plan – who works on what, every week</t>
  </si>
  <si>
    <t>▶ = starts this week.  ✔ = finishes this week.  Ongoing tasks (listed at the bottom) run all project long.  This sheet is a snapshot of the current dates; if dates change, update it.</t>
  </si>
  <si>
    <t>Week</t>
  </si>
  <si>
    <t>Handoffs &amp; official deadlines</t>
  </si>
  <si>
    <t>Week 1
05 Oct – 11 Oct</t>
  </si>
  <si>
    <t>▶ #1 GitHub Organization ✔
▶ #2 Literature Review &amp; Gap (until 16 Oct)
▶ #3 Project Plan &amp; Gantt ✔
▶ #4 Project Proposal ✔
▶ #5 Task Assignment &amp; Roles ✔
▶ #12 Data Quality Assessment (until 30 Oct)</t>
  </si>
  <si>
    <t>▶ #6 Risk Assessment (until 14 Oct)
▶ #13 Architecture &amp; Tech Stack (until 23 Oct)</t>
  </si>
  <si>
    <t>▶ #7 Project KPIs (until 14 Oct)</t>
  </si>
  <si>
    <t>▶ #14 Database Design (ER &amp; Schema) (until 23 Oct)</t>
  </si>
  <si>
    <t>▶ #8 Dataset Documentation (until 14 Oct)
▶ #9 Requirements Gathering (until 16 Oct)</t>
  </si>
  <si>
    <t>10 Oct: Jessy → Ali, Yasmeen, Salma: Data Dictionary draft (the data contract)</t>
  </si>
  <si>
    <t>Week 2
12 Oct – 18 Oct</t>
  </si>
  <si>
    <t>#2 Literature Review &amp; Gap ✔
#12 Data Quality Assessment (until 30 Oct)
▶ #15 Data Cleaning &amp; Preparation (until 30 Oct)
▶ #23 Python EDA (until 13 Nov)</t>
  </si>
  <si>
    <t>#6 Risk Assessment ✔
#13 Architecture &amp; Tech Stack (until 23 Oct)</t>
  </si>
  <si>
    <t>#7 Project KPIs ✔
▶ #16 Analytical Questions &amp; KPIs (until 30 Oct)</t>
  </si>
  <si>
    <t>#14 Database Design (ER &amp; Schema) (until 23 Oct)</t>
  </si>
  <si>
    <t>#8 Dataset Documentation ✔
#9 Requirements Gathering ✔
▶ #17 QA: Testing Plan (until 30 Oct)
▶ #18 Use Case Diagram &amp; Descriptions (until 27 Oct)</t>
  </si>
  <si>
    <t>16 Oct: Ali → everyone: dataset v0 (schema frozen)
16 Oct: Jessy → Sara, Yasmeen, Salma: requirements document
16 Oct: OFFICIAL DEADLINE (Planning, Literature Review, Requirements)</t>
  </si>
  <si>
    <t>Week 3
19 Oct – 25 Oct</t>
  </si>
  <si>
    <t>#12 Data Quality Assessment (until 30 Oct)
#15 Data Cleaning &amp; Preparation (until 30 Oct)
#23 Python EDA (until 13 Nov)</t>
  </si>
  <si>
    <t>#13 Architecture &amp; Tech Stack ✔
▶ #24 SQL Analysis (until 13 Nov)</t>
  </si>
  <si>
    <t>#16 Analytical Questions &amp; KPIs (until 30 Oct)
▶ #19 DFD &amp; Behaviour Diagrams (until 06 Nov)</t>
  </si>
  <si>
    <t>#14 Database Design (ER &amp; Schema) ✔
▶ #20 Business Rules &amp; KPI Definitions (until 30 Oct)</t>
  </si>
  <si>
    <t>#17 QA: Testing Plan (until 30 Oct)
#18 Use Case Diagram &amp; Descriptions (until 27 Oct)
▶ #21 Wireframes &amp; UI/UX (until 30 Oct)</t>
  </si>
  <si>
    <t>23 Oct: Ali → everyone: dataset v1
23 Oct: Sara → Yasmeen, Jessy: KPI shortlist
23 Oct: Yasmeen → Salma, Sara: database schema
23 Oct: Salma → everyone: architecture</t>
  </si>
  <si>
    <t>Week 4
26 Oct – 01 Nov</t>
  </si>
  <si>
    <t>#12 Data Quality Assessment ✔
#15 Data Cleaning &amp; Preparation ✔
#23 Python EDA (until 13 Nov)
▶ #25 Statistical Analysis (until 13 Nov)
▶ #26 Time-Series &amp; Seasonality (until 13 Nov)</t>
  </si>
  <si>
    <t>#24 SQL Analysis (until 13 Nov)
▶ #27 Geographic Analysis (until 20 Nov)
▶ #28 SQL Analytical Views (until 20 Nov)</t>
  </si>
  <si>
    <t>#16 Analytical Questions &amp; KPIs ✔
#19 DFD &amp; Behaviour Diagrams (until 06 Nov)
▶ #29 Power Query &amp; Data Model (until 13 Nov)</t>
  </si>
  <si>
    <t>#20 Business Rules &amp; KPI Definitions ✔
▶ #30 Database &amp; Model Validation (until 13 Nov)
▶ #31 Power BI Modeling &amp; DAX Support (until 20 Nov)
▶ #22 Component, Deployment &amp; Strategy (until 06 Nov)</t>
  </si>
  <si>
    <t>#17 QA: Testing Plan ✔
#18 Use Case Diagram &amp; Descriptions ✔
#21 Wireframes &amp; UI/UX ✔
▶ #32 Tableau Dashboard (until 20 Nov)</t>
  </si>
  <si>
    <t>27 Oct: Jessy: use case diagram ready
30 Oct: Ali → everyone: final cleaned dataset
30 Oct: Jessy → Sara: wireframes and mockups
30 Oct: Yasmeen → Sara: business rules and KPI definitions</t>
  </si>
  <si>
    <t>Week 5
02 Nov – 08 Nov</t>
  </si>
  <si>
    <t>#23 Python EDA (until 13 Nov)
#25 Statistical Analysis (until 13 Nov)
#26 Time-Series &amp; Seasonality (until 13 Nov)</t>
  </si>
  <si>
    <t>#24 SQL Analysis (until 13 Nov)
#27 Geographic Analysis (until 20 Nov)
#28 SQL Analytical Views (until 20 Nov)
▶ #33 SQL Data Validation (until 20 Nov)</t>
  </si>
  <si>
    <t>#19 DFD &amp; Behaviour Diagrams ✔
#29 Power Query &amp; Data Model (until 13 Nov)
▶ #34 Power BI Dashboard (until 20 Nov)
▶ #35 DAX &amp; KPI Implementation (until 20 Nov)</t>
  </si>
  <si>
    <t>#30 Database &amp; Model Validation (until 13 Nov)
#31 Power BI Modeling &amp; DAX Support (until 20 Nov)
#22 Component, Deployment &amp; Strategy ✔</t>
  </si>
  <si>
    <t>#32 Tableau Dashboard (until 20 Nov)
▶ #36 QA: Test Cases (until 20 Nov)</t>
  </si>
  <si>
    <t>6 Nov: OFFICIAL DEADLINE (System Analysis &amp; Design)</t>
  </si>
  <si>
    <t>Week 6
09 Nov – 15 Nov</t>
  </si>
  <si>
    <t>#23 Python EDA ✔
#25 Statistical Analysis ✔
#26 Time-Series &amp; Seasonality ✔
▶ #37 Python Documentation (until 25 Nov)
▶ #38 README (until 25 Nov)</t>
  </si>
  <si>
    <t>#24 SQL Analysis ✔
#27 Geographic Analysis (until 20 Nov)
#28 SQL Analytical Views (until 20 Nov)
#33 SQL Data Validation (until 20 Nov)
▶ #39 SQL Documentation (until 20 Nov)
▶ #40 Cross-Tool Validation (until 27 Nov)</t>
  </si>
  <si>
    <t>#29 Power Query &amp; Data Model ✔
#34 Power BI Dashboard (until 20 Nov)
#35 DAX &amp; KPI Implementation (until 20 Nov)</t>
  </si>
  <si>
    <t>#30 Database &amp; Model Validation ✔
#31 Power BI Modeling &amp; DAX Support (until 20 Nov)
▶ #41 Database Documentation (until 20 Nov)</t>
  </si>
  <si>
    <t>#32 Tableau Dashboard (until 20 Nov)
#36 QA: Test Cases (until 20 Nov)
▶ #47 QA: Bug Tracking (until 02 Dec)
▶ #48 Tableau, Req &amp; QA Documentation (until 02 Dec)</t>
  </si>
  <si>
    <t>13 Nov: Ali (Python, statistics), Salma (SQL), Yasmeen (database): reference totals and findings</t>
  </si>
  <si>
    <t>Week 7
16 Nov – 22 Nov</t>
  </si>
  <si>
    <t>#37 Python Documentation (until 25 Nov)
#38 README (until 25 Nov)
▶ #42 Code Quality &amp; Code Review (until 25 Nov)
▶ #49 Test: Python &amp; Cleaning (until 27 Nov)</t>
  </si>
  <si>
    <t>#27 Geographic Analysis ✔
#28 SQL Analytical Views ✔
#33 SQL Data Validation ✔
#39 SQL Documentation ✔
#40 Cross-Tool Validation (until 27 Nov)
▶ #50 Technical Documentation (until 02 Dec)
▶ #51 Test: SQL &amp; Geographic (until 27 Nov)</t>
  </si>
  <si>
    <t>#34 Power BI Dashboard ✔
#35 DAX &amp; KPI Implementation ✔
▶ #43 Dashboard Insights (until 24 Nov)
▶ #44 Power BI Documentation (until 02 Dec)
▶ #52 Test: Power BI &amp; DAX (until 27 Nov)</t>
  </si>
  <si>
    <t>#31 Power BI Modeling &amp; DAX Support ✔
#41 Database Documentation ✔
▶ #45 Analytical Results (until 27 Nov)
▶ #53 Test: Database &amp; Model (until 27 Nov)</t>
  </si>
  <si>
    <t>#32 Tableau Dashboard ✔
#36 QA: Test Cases ✔
#47 QA: Bug Tracking (until 02 Dec)
#48 Tableau, Req &amp; QA Documentation (until 02 Dec)
▶ #54 Final Project Report (until 04 Dec)
▶ #55 Test: Tableau (until 27 Nov)</t>
  </si>
  <si>
    <t>16 Nov: all code ready for Ali's code review
20 Nov: Sara and Jessy: dashboards done; Salma: geographic results → Yasmeen and Salma (validation)</t>
  </si>
  <si>
    <t>Week 8
23 Nov – 29 Nov</t>
  </si>
  <si>
    <t>#37 Python Documentation ✔
#38 README ✔
#42 Code Quality &amp; Code Review ✔
#49 Test: Python &amp; Cleaning ✔
▶ #46 Packaged Final Files (until 30 Nov)
▶ #60 Final Integration &amp; Consistency (until 04 Dec)</t>
  </si>
  <si>
    <t>#40 Cross-Tool Validation ✔
#50 Technical Documentation (until 02 Dec)
#51 Test: SQL &amp; Geographic ✔</t>
  </si>
  <si>
    <t>#43 Dashboard Insights ✔
#44 Power BI Documentation (until 02 Dec)
#52 Test: Power BI &amp; DAX ✔
▶ #56 User Manual (until 02 Dec)</t>
  </si>
  <si>
    <t>#45 Analytical Results ✔
#53 Test: Database &amp; Model ✔
▶ #57 Results Validation &amp; Limitations (until 02 Dec)
▶ #61 Final Presentation (until 04 Dec)</t>
  </si>
  <si>
    <t>#47 QA: Bug Tracking (until 02 Dec)
#48 Tableau, Req &amp; QA Documentation (until 02 Dec)
#54 Final Project Report (until 04 Dec)
#55 Test: Tableau ✔
▶ #58 QA: End-to-End Testing (until 02 Dec)
▶ #59 QA: Usability Testing (until 02 Dec)
▶ #62 QA: Reproducibility (until 02 Dec)</t>
  </si>
  <si>
    <t>24 Nov: Sara: dashboard insights → Yasmeen
25 Nov: Ali: README ready → Jessy (reproducibility from 26 Nov)
27 Nov: Yasmeen: analytical results → Jessy (report), Ali (integration)</t>
  </si>
  <si>
    <t>Week 9
30 Nov – 04 Dec</t>
  </si>
  <si>
    <t>#46 Packaged Final Files ✔
#60 Final Integration &amp; Consistency ✔</t>
  </si>
  <si>
    <t>#50 Technical Documentation ✔
▶ #63 Video Demonstration ✔</t>
  </si>
  <si>
    <t>#44 Power BI Documentation ✔
#56 User Manual ✔</t>
  </si>
  <si>
    <t>#57 Results Validation &amp; Limitations ✔
#61 Final Presentation ✔</t>
  </si>
  <si>
    <t>#47 QA: Bug Tracking ✔
#48 Tableau, Req &amp; QA Documentation ✔
#54 Final Project Report ✔
#58 QA: End-to-End Testing ✔
#59 QA: Usability Testing ✔
#62 QA: Reproducibility ✔</t>
  </si>
  <si>
    <t>30 Nov: OFFICIAL DEADLINE (Implementation)
4 Dec: OFFICIAL DEADLINE (Final Presentation, Testing &amp; Reports)</t>
  </si>
  <si>
    <t>Ongoing</t>
  </si>
  <si>
    <t>Ali: #10 Lecturer Feedback &amp; Grading Criteria (ongoing: request now, update after each review)     Ali: #11 Team Follow-up (weekly check-in, handoffs, status)</t>
  </si>
  <si>
    <t>In Progress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</si>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</sst>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"/>
    <numFmt numFmtId="165" formatCode="dd\ mmm\ yyyy"/>
  </numFmts>
  <fonts count="19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b/>
      <sz val="11"/>
      <color rgb="FF1F3864"/>
      <name val="Arial"/>
      <charset val="1"/>
    </font>
    <font>
      <i/>
      <sz val="10"/>
      <color rgb="FF595959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0"/>
      <color rgb="FFC00000"/>
      <name val="Arial"/>
      <charset val="1"/>
    </font>
    <font>
      <sz val="10"/>
      <color rgb="FF000000"/>
      <name val="Arial"/>
      <charset val="1"/>
    </font>
    <font>
      <b/>
      <sz val="12"/>
      <color rgb="FFC00000"/>
      <name val="Arial"/>
      <charset val="1"/>
    </font>
    <font>
      <b/>
      <sz val="11"/>
      <color rgb="FFFFFFFF"/>
      <name val="Arial"/>
      <charset val="1"/>
    </font>
    <font>
      <b/>
      <sz val="11"/>
      <color rgb="FF000000"/>
      <name val="Arial"/>
      <charset val="1"/>
    </font>
    <font>
      <sz val="9"/>
      <color rgb="FFC00000"/>
      <name val="Arial"/>
      <charset val="1"/>
    </font>
    <font>
      <b/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339966"/>
      </patternFill>
    </fill>
    <fill>
      <patternFill patternType="solid">
        <fgColor rgb="FF7030A0"/>
        <bgColor rgb="FF993366"/>
      </patternFill>
    </fill>
    <fill>
      <patternFill patternType="solid">
        <fgColor rgb="FFFFC000"/>
        <bgColor rgb="FFFF9900"/>
      </patternFill>
    </fill>
    <fill>
      <patternFill patternType="solid">
        <fgColor rgb="FF1F3864"/>
        <bgColor rgb="FF333333"/>
      </patternFill>
    </fill>
    <fill>
      <patternFill patternType="solid">
        <fgColor rgb="FFBDD7EE"/>
        <bgColor rgb="FFC6E0B4"/>
      </patternFill>
    </fill>
    <fill>
      <patternFill patternType="solid">
        <fgColor rgb="FFF8CBAD"/>
        <bgColor rgb="FFFFE699"/>
      </patternFill>
    </fill>
    <fill>
      <patternFill patternType="solid">
        <fgColor rgb="FFC6E0B4"/>
        <bgColor rgb="FFBDD7EE"/>
      </patternFill>
    </fill>
    <fill>
      <patternFill patternType="solid">
        <fgColor rgb="FFFFE699"/>
        <bgColor rgb="FFF8CBAD"/>
      </patternFill>
    </fill>
    <fill>
      <patternFill patternType="solid">
        <fgColor rgb="FFD9C3E8"/>
        <bgColor rgb="FFBFBFBF"/>
      </patternFill>
    </fill>
    <fill>
      <patternFill patternType="solid">
        <fgColor rgb="FFEAF1FB"/>
        <bgColor rgb="FFFFFFFF"/>
      </patternFill>
    </fill>
    <fill>
      <patternFill patternType="solid">
        <fgColor rgb="FFFFFFFF"/>
        <bgColor rgb="FFEAF1FB"/>
      </patternFill>
    </fill>
    <fill>
      <patternFill patternType="solid">
        <fgColor theme="7" tint="0.39997558519241921"/>
        <bgColor rgb="FFC6E0B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8" fillId="7" borderId="1" xfId="0" applyFont="1" applyFill="1" applyBorder="1" applyAlignment="1">
      <alignment horizontal="center" vertical="center" wrapText="1"/>
    </xf>
    <xf numFmtId="164" fontId="6" fillId="7" borderId="1" xfId="0" applyNumberFormat="1" applyFont="1" applyFill="1" applyBorder="1" applyAlignment="1">
      <alignment horizontal="center" vertical="center" textRotation="90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10" fillId="8" borderId="1" xfId="0" applyFont="1" applyFill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10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165" fontId="13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5" fillId="7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vertical="center" wrapText="1"/>
    </xf>
    <xf numFmtId="0" fontId="5" fillId="14" borderId="1" xfId="0" applyFont="1" applyFill="1" applyBorder="1" applyAlignment="1">
      <alignment vertical="top" wrapText="1"/>
    </xf>
    <xf numFmtId="0" fontId="17" fillId="0" borderId="1" xfId="0" applyFont="1" applyBorder="1" applyAlignment="1">
      <alignment vertical="top" wrapText="1"/>
    </xf>
    <xf numFmtId="0" fontId="10" fillId="13" borderId="1" xfId="0" applyFont="1" applyFill="1" applyBorder="1"/>
    <xf numFmtId="0" fontId="18" fillId="15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top" wrapText="1"/>
    </xf>
    <xf numFmtId="0" fontId="6" fillId="2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center"/>
    </xf>
    <xf numFmtId="0" fontId="7" fillId="6" borderId="0" xfId="0" applyFont="1" applyFill="1" applyBorder="1" applyAlignment="1">
      <alignment horizontal="center"/>
    </xf>
    <xf numFmtId="0" fontId="15" fillId="2" borderId="0" xfId="0" applyFont="1" applyFill="1" applyBorder="1" applyAlignment="1">
      <alignment vertical="center"/>
    </xf>
    <xf numFmtId="0" fontId="15" fillId="3" borderId="0" xfId="0" applyFont="1" applyFill="1" applyBorder="1" applyAlignment="1">
      <alignment vertical="center"/>
    </xf>
    <xf numFmtId="0" fontId="15" fillId="4" borderId="0" xfId="0" applyFont="1" applyFill="1" applyBorder="1" applyAlignment="1">
      <alignment vertical="center"/>
    </xf>
    <xf numFmtId="0" fontId="15" fillId="5" borderId="0" xfId="0" applyFont="1" applyFill="1" applyBorder="1" applyAlignment="1">
      <alignment vertical="center"/>
    </xf>
    <xf numFmtId="0" fontId="16" fillId="6" borderId="0" xfId="0" applyFont="1" applyFill="1" applyBorder="1" applyAlignment="1">
      <alignment vertical="center"/>
    </xf>
    <xf numFmtId="0" fontId="3" fillId="0" borderId="0" xfId="0" applyFont="1" applyBorder="1"/>
    <xf numFmtId="0" fontId="5" fillId="0" borderId="0" xfId="0" applyFont="1" applyBorder="1" applyAlignment="1">
      <alignment vertical="center" wrapText="1"/>
    </xf>
  </cellXfs>
  <cellStyles count="1">
    <cellStyle name="Normal" xfId="0" builtinId="0"/>
  </cellStyles>
  <dxfs count="42"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AD47"/>
        </patternFill>
      </fill>
    </dxf>
    <dxf>
      <fill>
        <patternFill>
          <bgColor rgb="FFED7D31"/>
        </patternFill>
      </fill>
    </dxf>
    <dxf>
      <fill>
        <patternFill>
          <bgColor rgb="FF2E75B6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AD47"/>
        </patternFill>
      </fill>
    </dxf>
    <dxf>
      <fill>
        <patternFill>
          <bgColor rgb="FFED7D31"/>
        </patternFill>
      </fill>
    </dxf>
    <dxf>
      <fill>
        <patternFill>
          <bgColor rgb="FF2E75B6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AD47"/>
        </patternFill>
      </fill>
    </dxf>
    <dxf>
      <fill>
        <patternFill>
          <bgColor rgb="FFED7D31"/>
        </patternFill>
      </fill>
    </dxf>
    <dxf>
      <fill>
        <patternFill>
          <bgColor rgb="FF2E75B6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AD47"/>
        </patternFill>
      </fill>
    </dxf>
    <dxf>
      <fill>
        <patternFill>
          <bgColor rgb="FFED7D31"/>
        </patternFill>
      </fill>
    </dxf>
    <dxf>
      <fill>
        <patternFill>
          <bgColor rgb="FF2E75B6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AD47"/>
        </patternFill>
      </fill>
    </dxf>
    <dxf>
      <fill>
        <patternFill>
          <bgColor rgb="FFED7D31"/>
        </patternFill>
      </fill>
    </dxf>
    <dxf>
      <fill>
        <patternFill>
          <bgColor rgb="FF2E75B6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AD47"/>
        </patternFill>
      </fill>
    </dxf>
    <dxf>
      <fill>
        <patternFill>
          <bgColor rgb="FFED7D31"/>
        </patternFill>
      </fill>
    </dxf>
    <dxf>
      <fill>
        <patternFill>
          <bgColor rgb="FF2E75B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FCC"/>
      <rgbColor rgb="FFEAF1FB"/>
      <rgbColor rgb="FF660066"/>
      <rgbColor rgb="FFFF8080"/>
      <rgbColor rgb="FF0066CC"/>
      <rgbColor rgb="FFD9C3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BDD7EE"/>
      <rgbColor rgb="FFFF99CC"/>
      <rgbColor rgb="FFCC99FF"/>
      <rgbColor rgb="FFF8CBAD"/>
      <rgbColor rgb="FF2E75B6"/>
      <rgbColor rgb="FF33CCCC"/>
      <rgbColor rgb="FF99CC00"/>
      <rgbColor rgb="FFFFC0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74"/>
  <sheetViews>
    <sheetView showGridLines="0" tabSelected="1" zoomScaleNormal="100" workbookViewId="0">
      <pane ySplit="5" topLeftCell="A6" activePane="bottomLeft" state="frozen"/>
      <selection pane="bottomLeft" activeCell="H17" sqref="H17"/>
    </sheetView>
  </sheetViews>
  <sheetFormatPr defaultColWidth="8.7109375" defaultRowHeight="15" x14ac:dyDescent="0.25"/>
  <cols>
    <col min="1" max="1" width="5" customWidth="1"/>
    <col min="2" max="2" width="15" customWidth="1"/>
    <col min="3" max="3" width="50" customWidth="1"/>
    <col min="4" max="4" width="11" customWidth="1"/>
    <col min="5" max="6" width="13" customWidth="1"/>
    <col min="7" max="7" width="7" customWidth="1"/>
    <col min="8" max="8" width="13" customWidth="1"/>
    <col min="9" max="18" width="5.5703125" customWidth="1"/>
  </cols>
  <sheetData>
    <row r="1" spans="1:18" ht="20.25" x14ac:dyDescent="0.3">
      <c r="A1" s="1" t="s">
        <v>0</v>
      </c>
    </row>
    <row r="2" spans="1:18" x14ac:dyDescent="0.25">
      <c r="A2" s="2" t="s">
        <v>1</v>
      </c>
    </row>
    <row r="3" spans="1:18" ht="30" customHeight="1" x14ac:dyDescent="0.25">
      <c r="A3" s="38" t="s">
        <v>2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</row>
    <row r="4" spans="1:18" x14ac:dyDescent="0.25">
      <c r="C4" s="3" t="s">
        <v>3</v>
      </c>
      <c r="D4" s="4"/>
      <c r="I4" s="39" t="s">
        <v>4</v>
      </c>
      <c r="J4" s="39"/>
      <c r="K4" s="40" t="s">
        <v>5</v>
      </c>
      <c r="L4" s="40"/>
      <c r="M4" s="41" t="s">
        <v>6</v>
      </c>
      <c r="N4" s="41"/>
      <c r="O4" s="42" t="s">
        <v>7</v>
      </c>
      <c r="P4" s="42"/>
      <c r="Q4" s="43" t="s">
        <v>8</v>
      </c>
      <c r="R4" s="43"/>
    </row>
    <row r="5" spans="1:18" ht="48" customHeight="1" x14ac:dyDescent="0.25">
      <c r="A5" s="5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  <c r="I5" s="6">
        <v>46300</v>
      </c>
      <c r="J5" s="6">
        <f t="shared" ref="J5:R5" si="0">I5+7</f>
        <v>46307</v>
      </c>
      <c r="K5" s="6">
        <f t="shared" si="0"/>
        <v>46314</v>
      </c>
      <c r="L5" s="6">
        <f t="shared" si="0"/>
        <v>46321</v>
      </c>
      <c r="M5" s="6">
        <f t="shared" si="0"/>
        <v>46328</v>
      </c>
      <c r="N5" s="6">
        <f t="shared" si="0"/>
        <v>46335</v>
      </c>
      <c r="O5" s="6">
        <f t="shared" si="0"/>
        <v>46342</v>
      </c>
      <c r="P5" s="6">
        <f t="shared" si="0"/>
        <v>46349</v>
      </c>
      <c r="Q5" s="6">
        <f t="shared" si="0"/>
        <v>46356</v>
      </c>
      <c r="R5" s="6">
        <f t="shared" si="0"/>
        <v>46363</v>
      </c>
    </row>
    <row r="6" spans="1:18" ht="30" customHeight="1" x14ac:dyDescent="0.25">
      <c r="A6" s="7">
        <v>1</v>
      </c>
      <c r="B6" s="8" t="s">
        <v>17</v>
      </c>
      <c r="C6" s="9" t="s">
        <v>18</v>
      </c>
      <c r="D6" s="10" t="s">
        <v>4</v>
      </c>
      <c r="E6" s="11">
        <v>46300</v>
      </c>
      <c r="F6" s="11">
        <v>46304</v>
      </c>
      <c r="G6" s="7">
        <f t="shared" ref="G6:G37" si="1">F6-E6+1</f>
        <v>5</v>
      </c>
      <c r="H6" s="7" t="s">
        <v>169</v>
      </c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1:18" ht="19.5" customHeight="1" x14ac:dyDescent="0.25">
      <c r="A7" s="7">
        <v>2</v>
      </c>
      <c r="B7" s="8" t="s">
        <v>17</v>
      </c>
      <c r="C7" s="9" t="s">
        <v>20</v>
      </c>
      <c r="D7" s="37" t="s">
        <v>7</v>
      </c>
      <c r="E7" s="11">
        <v>46300</v>
      </c>
      <c r="F7" s="11">
        <v>46311</v>
      </c>
      <c r="G7" s="7">
        <f t="shared" si="1"/>
        <v>12</v>
      </c>
      <c r="H7" s="7" t="s">
        <v>168</v>
      </c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1:18" ht="19.5" customHeight="1" x14ac:dyDescent="0.25">
      <c r="A8" s="7">
        <v>3</v>
      </c>
      <c r="B8" s="8" t="s">
        <v>17</v>
      </c>
      <c r="C8" s="9" t="s">
        <v>21</v>
      </c>
      <c r="D8" s="10" t="s">
        <v>4</v>
      </c>
      <c r="E8" s="11">
        <v>46300</v>
      </c>
      <c r="F8" s="11">
        <v>46304</v>
      </c>
      <c r="G8" s="7">
        <f t="shared" si="1"/>
        <v>5</v>
      </c>
      <c r="H8" s="7" t="s">
        <v>169</v>
      </c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18" ht="30" customHeight="1" x14ac:dyDescent="0.25">
      <c r="A9" s="7">
        <v>4</v>
      </c>
      <c r="B9" s="8" t="s">
        <v>17</v>
      </c>
      <c r="C9" s="9" t="s">
        <v>22</v>
      </c>
      <c r="D9" s="10" t="s">
        <v>4</v>
      </c>
      <c r="E9" s="11">
        <v>46300</v>
      </c>
      <c r="F9" s="11">
        <v>46304</v>
      </c>
      <c r="G9" s="7">
        <f t="shared" si="1"/>
        <v>5</v>
      </c>
      <c r="H9" s="7" t="s">
        <v>169</v>
      </c>
      <c r="I9" s="12"/>
      <c r="J9" s="12"/>
      <c r="K9" s="12"/>
      <c r="L9" s="12"/>
      <c r="M9" s="12"/>
      <c r="N9" s="12"/>
      <c r="O9" s="12"/>
      <c r="P9" s="12"/>
      <c r="Q9" s="12"/>
      <c r="R9" s="12"/>
    </row>
    <row r="10" spans="1:18" ht="19.5" customHeight="1" x14ac:dyDescent="0.25">
      <c r="A10" s="7">
        <v>5</v>
      </c>
      <c r="B10" s="8" t="s">
        <v>17</v>
      </c>
      <c r="C10" s="9" t="s">
        <v>23</v>
      </c>
      <c r="D10" s="10" t="s">
        <v>4</v>
      </c>
      <c r="E10" s="11">
        <v>46300</v>
      </c>
      <c r="F10" s="11">
        <v>46304</v>
      </c>
      <c r="G10" s="7">
        <f t="shared" si="1"/>
        <v>5</v>
      </c>
      <c r="H10" s="7" t="s">
        <v>169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spans="1:18" ht="19.5" customHeight="1" x14ac:dyDescent="0.25">
      <c r="A11" s="7">
        <v>6</v>
      </c>
      <c r="B11" s="8" t="s">
        <v>17</v>
      </c>
      <c r="C11" s="9" t="s">
        <v>24</v>
      </c>
      <c r="D11" s="13" t="s">
        <v>5</v>
      </c>
      <c r="E11" s="11">
        <v>46300</v>
      </c>
      <c r="F11" s="11">
        <v>46309</v>
      </c>
      <c r="G11" s="7">
        <f t="shared" si="1"/>
        <v>10</v>
      </c>
      <c r="H11" s="7" t="s">
        <v>168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ht="30" customHeight="1" x14ac:dyDescent="0.25">
      <c r="A12" s="7">
        <v>7</v>
      </c>
      <c r="B12" s="8" t="s">
        <v>17</v>
      </c>
      <c r="C12" s="9" t="s">
        <v>25</v>
      </c>
      <c r="D12" s="14" t="s">
        <v>6</v>
      </c>
      <c r="E12" s="11">
        <v>46300</v>
      </c>
      <c r="F12" s="11">
        <v>46309</v>
      </c>
      <c r="G12" s="7">
        <f t="shared" si="1"/>
        <v>10</v>
      </c>
      <c r="H12" s="7" t="s">
        <v>168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spans="1:18" ht="19.5" customHeight="1" x14ac:dyDescent="0.25">
      <c r="A13" s="7">
        <v>8</v>
      </c>
      <c r="B13" s="8" t="s">
        <v>17</v>
      </c>
      <c r="C13" s="9" t="s">
        <v>26</v>
      </c>
      <c r="D13" s="15" t="s">
        <v>8</v>
      </c>
      <c r="E13" s="11">
        <v>46300</v>
      </c>
      <c r="F13" s="11">
        <v>46309</v>
      </c>
      <c r="G13" s="7">
        <f t="shared" si="1"/>
        <v>10</v>
      </c>
      <c r="H13" s="7" t="s">
        <v>169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spans="1:18" ht="30" customHeight="1" x14ac:dyDescent="0.25">
      <c r="A14" s="7">
        <v>9</v>
      </c>
      <c r="B14" s="8" t="s">
        <v>17</v>
      </c>
      <c r="C14" s="9" t="s">
        <v>27</v>
      </c>
      <c r="D14" s="15" t="s">
        <v>8</v>
      </c>
      <c r="E14" s="11">
        <v>46300</v>
      </c>
      <c r="F14" s="11">
        <v>46311</v>
      </c>
      <c r="G14" s="7">
        <f t="shared" si="1"/>
        <v>12</v>
      </c>
      <c r="H14" s="7" t="s">
        <v>168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spans="1:18" ht="30" customHeight="1" x14ac:dyDescent="0.25">
      <c r="A15" s="7">
        <v>10</v>
      </c>
      <c r="B15" s="8" t="s">
        <v>17</v>
      </c>
      <c r="C15" s="9" t="s">
        <v>28</v>
      </c>
      <c r="D15" s="10" t="s">
        <v>4</v>
      </c>
      <c r="E15" s="11">
        <v>46300</v>
      </c>
      <c r="F15" s="11">
        <v>46360</v>
      </c>
      <c r="G15" s="7">
        <f t="shared" si="1"/>
        <v>61</v>
      </c>
      <c r="H15" s="7" t="s">
        <v>168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 spans="1:18" ht="30" customHeight="1" x14ac:dyDescent="0.25">
      <c r="A16" s="7">
        <v>11</v>
      </c>
      <c r="B16" s="8" t="s">
        <v>17</v>
      </c>
      <c r="C16" s="9" t="s">
        <v>29</v>
      </c>
      <c r="D16" s="10" t="s">
        <v>4</v>
      </c>
      <c r="E16" s="11">
        <v>46300</v>
      </c>
      <c r="F16" s="11">
        <v>46360</v>
      </c>
      <c r="G16" s="7">
        <f t="shared" si="1"/>
        <v>61</v>
      </c>
      <c r="H16" s="7" t="s">
        <v>168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pans="1:18" ht="30" customHeight="1" x14ac:dyDescent="0.25">
      <c r="A17" s="7">
        <v>12</v>
      </c>
      <c r="B17" s="8" t="s">
        <v>30</v>
      </c>
      <c r="C17" s="9" t="s">
        <v>31</v>
      </c>
      <c r="D17" s="10" t="s">
        <v>4</v>
      </c>
      <c r="E17" s="11">
        <v>46300</v>
      </c>
      <c r="F17" s="11">
        <v>46325</v>
      </c>
      <c r="G17" s="7">
        <f t="shared" si="1"/>
        <v>26</v>
      </c>
      <c r="H17" s="7" t="s">
        <v>19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 spans="1:18" ht="19.5" customHeight="1" x14ac:dyDescent="0.25">
      <c r="A18" s="7">
        <v>13</v>
      </c>
      <c r="B18" s="8" t="s">
        <v>30</v>
      </c>
      <c r="C18" s="9" t="s">
        <v>32</v>
      </c>
      <c r="D18" s="13" t="s">
        <v>5</v>
      </c>
      <c r="E18" s="11">
        <v>46300</v>
      </c>
      <c r="F18" s="11">
        <v>46318</v>
      </c>
      <c r="G18" s="7">
        <f t="shared" si="1"/>
        <v>19</v>
      </c>
      <c r="H18" s="7" t="s">
        <v>168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spans="1:18" ht="30" customHeight="1" x14ac:dyDescent="0.25">
      <c r="A19" s="7">
        <v>14</v>
      </c>
      <c r="B19" s="8" t="s">
        <v>30</v>
      </c>
      <c r="C19" s="9" t="s">
        <v>33</v>
      </c>
      <c r="D19" s="16" t="s">
        <v>7</v>
      </c>
      <c r="E19" s="11">
        <v>46300</v>
      </c>
      <c r="F19" s="11">
        <v>46318</v>
      </c>
      <c r="G19" s="7">
        <f t="shared" si="1"/>
        <v>19</v>
      </c>
      <c r="H19" s="7" t="s">
        <v>19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 spans="1:18" ht="30" customHeight="1" x14ac:dyDescent="0.25">
      <c r="A20" s="7">
        <v>15</v>
      </c>
      <c r="B20" s="8" t="s">
        <v>30</v>
      </c>
      <c r="C20" s="9" t="s">
        <v>34</v>
      </c>
      <c r="D20" s="10" t="s">
        <v>4</v>
      </c>
      <c r="E20" s="11">
        <v>46307</v>
      </c>
      <c r="F20" s="11">
        <v>46325</v>
      </c>
      <c r="G20" s="7">
        <f t="shared" si="1"/>
        <v>19</v>
      </c>
      <c r="H20" s="7" t="s">
        <v>19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 spans="1:18" ht="30" customHeight="1" x14ac:dyDescent="0.25">
      <c r="A21" s="7">
        <v>16</v>
      </c>
      <c r="B21" s="8" t="s">
        <v>30</v>
      </c>
      <c r="C21" s="9" t="s">
        <v>35</v>
      </c>
      <c r="D21" s="14" t="s">
        <v>6</v>
      </c>
      <c r="E21" s="11">
        <v>46307</v>
      </c>
      <c r="F21" s="11">
        <v>46325</v>
      </c>
      <c r="G21" s="7">
        <f t="shared" si="1"/>
        <v>19</v>
      </c>
      <c r="H21" s="7" t="s">
        <v>19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 spans="1:18" ht="19.5" customHeight="1" x14ac:dyDescent="0.25">
      <c r="A22" s="7">
        <v>17</v>
      </c>
      <c r="B22" s="8" t="s">
        <v>30</v>
      </c>
      <c r="C22" s="9" t="s">
        <v>36</v>
      </c>
      <c r="D22" s="15" t="s">
        <v>8</v>
      </c>
      <c r="E22" s="11">
        <v>46307</v>
      </c>
      <c r="F22" s="11">
        <v>46325</v>
      </c>
      <c r="G22" s="7">
        <f t="shared" si="1"/>
        <v>19</v>
      </c>
      <c r="H22" s="7" t="s">
        <v>19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 spans="1:18" ht="30" customHeight="1" x14ac:dyDescent="0.25">
      <c r="A23" s="7">
        <v>18</v>
      </c>
      <c r="B23" s="8" t="s">
        <v>30</v>
      </c>
      <c r="C23" s="9" t="s">
        <v>37</v>
      </c>
      <c r="D23" s="15" t="s">
        <v>8</v>
      </c>
      <c r="E23" s="11">
        <v>46307</v>
      </c>
      <c r="F23" s="11">
        <v>46322</v>
      </c>
      <c r="G23" s="7">
        <f t="shared" si="1"/>
        <v>16</v>
      </c>
      <c r="H23" s="7" t="s">
        <v>19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 spans="1:18" ht="30" customHeight="1" x14ac:dyDescent="0.25">
      <c r="A24" s="7">
        <v>19</v>
      </c>
      <c r="B24" s="8" t="s">
        <v>30</v>
      </c>
      <c r="C24" s="9" t="s">
        <v>38</v>
      </c>
      <c r="D24" s="14" t="s">
        <v>6</v>
      </c>
      <c r="E24" s="11">
        <v>46314</v>
      </c>
      <c r="F24" s="11">
        <v>46332</v>
      </c>
      <c r="G24" s="7">
        <f t="shared" si="1"/>
        <v>19</v>
      </c>
      <c r="H24" s="7" t="s">
        <v>19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spans="1:18" ht="19.5" customHeight="1" x14ac:dyDescent="0.25">
      <c r="A25" s="7">
        <v>20</v>
      </c>
      <c r="B25" s="8" t="s">
        <v>30</v>
      </c>
      <c r="C25" s="9" t="s">
        <v>39</v>
      </c>
      <c r="D25" s="16" t="s">
        <v>7</v>
      </c>
      <c r="E25" s="11">
        <v>46314</v>
      </c>
      <c r="F25" s="11">
        <v>46325</v>
      </c>
      <c r="G25" s="7">
        <f t="shared" si="1"/>
        <v>12</v>
      </c>
      <c r="H25" s="7" t="s">
        <v>19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 spans="1:18" ht="19.5" customHeight="1" x14ac:dyDescent="0.25">
      <c r="A26" s="7">
        <v>21</v>
      </c>
      <c r="B26" s="8" t="s">
        <v>30</v>
      </c>
      <c r="C26" s="9" t="s">
        <v>40</v>
      </c>
      <c r="D26" s="15" t="s">
        <v>8</v>
      </c>
      <c r="E26" s="11">
        <v>46314</v>
      </c>
      <c r="F26" s="11">
        <v>46325</v>
      </c>
      <c r="G26" s="7">
        <f t="shared" si="1"/>
        <v>12</v>
      </c>
      <c r="H26" s="7" t="s">
        <v>19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 spans="1:18" ht="30" customHeight="1" x14ac:dyDescent="0.25">
      <c r="A27" s="7">
        <v>22</v>
      </c>
      <c r="B27" s="8" t="s">
        <v>30</v>
      </c>
      <c r="C27" s="9" t="s">
        <v>41</v>
      </c>
      <c r="D27" s="16" t="s">
        <v>7</v>
      </c>
      <c r="E27" s="11">
        <v>46323</v>
      </c>
      <c r="F27" s="11">
        <v>46332</v>
      </c>
      <c r="G27" s="7">
        <f t="shared" si="1"/>
        <v>10</v>
      </c>
      <c r="H27" s="7" t="s">
        <v>19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 spans="1:18" ht="19.5" customHeight="1" x14ac:dyDescent="0.25">
      <c r="A28" s="7">
        <v>23</v>
      </c>
      <c r="B28" s="8" t="s">
        <v>42</v>
      </c>
      <c r="C28" s="9" t="s">
        <v>43</v>
      </c>
      <c r="D28" s="10" t="s">
        <v>4</v>
      </c>
      <c r="E28" s="11">
        <v>46311</v>
      </c>
      <c r="F28" s="11">
        <v>46339</v>
      </c>
      <c r="G28" s="7">
        <f t="shared" si="1"/>
        <v>29</v>
      </c>
      <c r="H28" s="7" t="s">
        <v>19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 spans="1:18" ht="30" customHeight="1" x14ac:dyDescent="0.25">
      <c r="A29" s="7">
        <v>24</v>
      </c>
      <c r="B29" s="8" t="s">
        <v>42</v>
      </c>
      <c r="C29" s="9" t="s">
        <v>44</v>
      </c>
      <c r="D29" s="13" t="s">
        <v>5</v>
      </c>
      <c r="E29" s="11">
        <v>46314</v>
      </c>
      <c r="F29" s="11">
        <v>46339</v>
      </c>
      <c r="G29" s="7">
        <f t="shared" si="1"/>
        <v>26</v>
      </c>
      <c r="H29" s="7" t="s">
        <v>19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</row>
    <row r="30" spans="1:18" ht="19.5" customHeight="1" x14ac:dyDescent="0.25">
      <c r="A30" s="7">
        <v>25</v>
      </c>
      <c r="B30" s="8" t="s">
        <v>42</v>
      </c>
      <c r="C30" s="9" t="s">
        <v>45</v>
      </c>
      <c r="D30" s="10" t="s">
        <v>4</v>
      </c>
      <c r="E30" s="11">
        <v>46321</v>
      </c>
      <c r="F30" s="11">
        <v>46339</v>
      </c>
      <c r="G30" s="7">
        <f t="shared" si="1"/>
        <v>19</v>
      </c>
      <c r="H30" s="7" t="s">
        <v>19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 spans="1:18" ht="30" customHeight="1" x14ac:dyDescent="0.25">
      <c r="A31" s="7">
        <v>26</v>
      </c>
      <c r="B31" s="8" t="s">
        <v>42</v>
      </c>
      <c r="C31" s="9" t="s">
        <v>46</v>
      </c>
      <c r="D31" s="10" t="s">
        <v>4</v>
      </c>
      <c r="E31" s="11">
        <v>46321</v>
      </c>
      <c r="F31" s="11">
        <v>46339</v>
      </c>
      <c r="G31" s="7">
        <f t="shared" si="1"/>
        <v>19</v>
      </c>
      <c r="H31" s="7" t="s">
        <v>19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spans="1:18" ht="30" customHeight="1" x14ac:dyDescent="0.25">
      <c r="A32" s="7">
        <v>27</v>
      </c>
      <c r="B32" s="8" t="s">
        <v>42</v>
      </c>
      <c r="C32" s="9" t="s">
        <v>47</v>
      </c>
      <c r="D32" s="13" t="s">
        <v>5</v>
      </c>
      <c r="E32" s="11">
        <v>46321</v>
      </c>
      <c r="F32" s="11">
        <v>46346</v>
      </c>
      <c r="G32" s="7">
        <f t="shared" si="1"/>
        <v>26</v>
      </c>
      <c r="H32" s="7" t="s">
        <v>19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</row>
    <row r="33" spans="1:18" ht="19.5" customHeight="1" x14ac:dyDescent="0.25">
      <c r="A33" s="7">
        <v>28</v>
      </c>
      <c r="B33" s="8" t="s">
        <v>42</v>
      </c>
      <c r="C33" s="9" t="s">
        <v>48</v>
      </c>
      <c r="D33" s="13" t="s">
        <v>5</v>
      </c>
      <c r="E33" s="11">
        <v>46321</v>
      </c>
      <c r="F33" s="11">
        <v>46346</v>
      </c>
      <c r="G33" s="7">
        <f t="shared" si="1"/>
        <v>26</v>
      </c>
      <c r="H33" s="7" t="s">
        <v>19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</row>
    <row r="34" spans="1:18" ht="19.5" customHeight="1" x14ac:dyDescent="0.25">
      <c r="A34" s="7">
        <v>29</v>
      </c>
      <c r="B34" s="8" t="s">
        <v>42</v>
      </c>
      <c r="C34" s="9" t="s">
        <v>49</v>
      </c>
      <c r="D34" s="14" t="s">
        <v>6</v>
      </c>
      <c r="E34" s="11">
        <v>46321</v>
      </c>
      <c r="F34" s="11">
        <v>46339</v>
      </c>
      <c r="G34" s="7">
        <f t="shared" si="1"/>
        <v>19</v>
      </c>
      <c r="H34" s="7" t="s">
        <v>19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</row>
    <row r="35" spans="1:18" ht="19.5" customHeight="1" x14ac:dyDescent="0.25">
      <c r="A35" s="7">
        <v>30</v>
      </c>
      <c r="B35" s="8" t="s">
        <v>42</v>
      </c>
      <c r="C35" s="9" t="s">
        <v>50</v>
      </c>
      <c r="D35" s="16" t="s">
        <v>7</v>
      </c>
      <c r="E35" s="11">
        <v>46321</v>
      </c>
      <c r="F35" s="11">
        <v>46339</v>
      </c>
      <c r="G35" s="7">
        <f t="shared" si="1"/>
        <v>19</v>
      </c>
      <c r="H35" s="7" t="s">
        <v>19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</row>
    <row r="36" spans="1:18" ht="30" customHeight="1" x14ac:dyDescent="0.25">
      <c r="A36" s="7">
        <v>31</v>
      </c>
      <c r="B36" s="8" t="s">
        <v>42</v>
      </c>
      <c r="C36" s="9" t="s">
        <v>51</v>
      </c>
      <c r="D36" s="16" t="s">
        <v>7</v>
      </c>
      <c r="E36" s="11">
        <v>46321</v>
      </c>
      <c r="F36" s="11">
        <v>46346</v>
      </c>
      <c r="G36" s="7">
        <f t="shared" si="1"/>
        <v>26</v>
      </c>
      <c r="H36" s="7" t="s">
        <v>19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spans="1:18" ht="30" customHeight="1" x14ac:dyDescent="0.25">
      <c r="A37" s="7">
        <v>32</v>
      </c>
      <c r="B37" s="8" t="s">
        <v>42</v>
      </c>
      <c r="C37" s="9" t="s">
        <v>52</v>
      </c>
      <c r="D37" s="15" t="s">
        <v>8</v>
      </c>
      <c r="E37" s="11">
        <v>46321</v>
      </c>
      <c r="F37" s="11">
        <v>46346</v>
      </c>
      <c r="G37" s="7">
        <f t="shared" si="1"/>
        <v>26</v>
      </c>
      <c r="H37" s="7" t="s">
        <v>19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</row>
    <row r="38" spans="1:18" ht="19.5" customHeight="1" x14ac:dyDescent="0.25">
      <c r="A38" s="7">
        <v>33</v>
      </c>
      <c r="B38" s="8" t="s">
        <v>42</v>
      </c>
      <c r="C38" s="9" t="s">
        <v>53</v>
      </c>
      <c r="D38" s="13" t="s">
        <v>5</v>
      </c>
      <c r="E38" s="11">
        <v>46328</v>
      </c>
      <c r="F38" s="11">
        <v>46346</v>
      </c>
      <c r="G38" s="7">
        <f t="shared" ref="G38:G68" si="2">F38-E38+1</f>
        <v>19</v>
      </c>
      <c r="H38" s="7" t="s">
        <v>19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1:18" ht="30" customHeight="1" x14ac:dyDescent="0.25">
      <c r="A39" s="7">
        <v>34</v>
      </c>
      <c r="B39" s="8" t="s">
        <v>42</v>
      </c>
      <c r="C39" s="9" t="s">
        <v>54</v>
      </c>
      <c r="D39" s="14" t="s">
        <v>6</v>
      </c>
      <c r="E39" s="11">
        <v>46328</v>
      </c>
      <c r="F39" s="11">
        <v>46346</v>
      </c>
      <c r="G39" s="7">
        <f t="shared" si="2"/>
        <v>19</v>
      </c>
      <c r="H39" s="7" t="s">
        <v>19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 spans="1:18" ht="30" customHeight="1" x14ac:dyDescent="0.25">
      <c r="A40" s="7">
        <v>35</v>
      </c>
      <c r="B40" s="8" t="s">
        <v>42</v>
      </c>
      <c r="C40" s="9" t="s">
        <v>55</v>
      </c>
      <c r="D40" s="14" t="s">
        <v>6</v>
      </c>
      <c r="E40" s="11">
        <v>46328</v>
      </c>
      <c r="F40" s="11">
        <v>46346</v>
      </c>
      <c r="G40" s="7">
        <f t="shared" si="2"/>
        <v>19</v>
      </c>
      <c r="H40" s="7" t="s">
        <v>19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spans="1:18" ht="19.5" customHeight="1" x14ac:dyDescent="0.25">
      <c r="A41" s="7">
        <v>36</v>
      </c>
      <c r="B41" s="8" t="s">
        <v>42</v>
      </c>
      <c r="C41" s="9" t="s">
        <v>56</v>
      </c>
      <c r="D41" s="15" t="s">
        <v>8</v>
      </c>
      <c r="E41" s="11">
        <v>46328</v>
      </c>
      <c r="F41" s="11">
        <v>46346</v>
      </c>
      <c r="G41" s="7">
        <f t="shared" si="2"/>
        <v>19</v>
      </c>
      <c r="H41" s="7" t="s">
        <v>19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</row>
    <row r="42" spans="1:18" ht="19.5" customHeight="1" x14ac:dyDescent="0.25">
      <c r="A42" s="7">
        <v>37</v>
      </c>
      <c r="B42" s="8" t="s">
        <v>42</v>
      </c>
      <c r="C42" s="9" t="s">
        <v>57</v>
      </c>
      <c r="D42" s="10" t="s">
        <v>4</v>
      </c>
      <c r="E42" s="11">
        <v>46335</v>
      </c>
      <c r="F42" s="11">
        <v>46351</v>
      </c>
      <c r="G42" s="7">
        <f t="shared" si="2"/>
        <v>17</v>
      </c>
      <c r="H42" s="7" t="s">
        <v>19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</row>
    <row r="43" spans="1:18" ht="19.5" customHeight="1" x14ac:dyDescent="0.25">
      <c r="A43" s="7">
        <v>38</v>
      </c>
      <c r="B43" s="8" t="s">
        <v>42</v>
      </c>
      <c r="C43" s="9" t="s">
        <v>58</v>
      </c>
      <c r="D43" s="10" t="s">
        <v>4</v>
      </c>
      <c r="E43" s="11">
        <v>46335</v>
      </c>
      <c r="F43" s="11">
        <v>46351</v>
      </c>
      <c r="G43" s="7">
        <f t="shared" si="2"/>
        <v>17</v>
      </c>
      <c r="H43" s="7" t="s">
        <v>19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</row>
    <row r="44" spans="1:18" ht="19.5" customHeight="1" x14ac:dyDescent="0.25">
      <c r="A44" s="7">
        <v>39</v>
      </c>
      <c r="B44" s="8" t="s">
        <v>42</v>
      </c>
      <c r="C44" s="9" t="s">
        <v>59</v>
      </c>
      <c r="D44" s="13" t="s">
        <v>5</v>
      </c>
      <c r="E44" s="11">
        <v>46335</v>
      </c>
      <c r="F44" s="11">
        <v>46346</v>
      </c>
      <c r="G44" s="7">
        <f t="shared" si="2"/>
        <v>12</v>
      </c>
      <c r="H44" s="7" t="s">
        <v>19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</row>
    <row r="45" spans="1:18" ht="30" customHeight="1" x14ac:dyDescent="0.25">
      <c r="A45" s="7">
        <v>40</v>
      </c>
      <c r="B45" s="8" t="s">
        <v>42</v>
      </c>
      <c r="C45" s="9" t="s">
        <v>60</v>
      </c>
      <c r="D45" s="13" t="s">
        <v>5</v>
      </c>
      <c r="E45" s="11">
        <v>46335</v>
      </c>
      <c r="F45" s="11">
        <v>46353</v>
      </c>
      <c r="G45" s="7">
        <f t="shared" si="2"/>
        <v>19</v>
      </c>
      <c r="H45" s="7" t="s">
        <v>19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</row>
    <row r="46" spans="1:18" ht="19.5" customHeight="1" x14ac:dyDescent="0.25">
      <c r="A46" s="7">
        <v>41</v>
      </c>
      <c r="B46" s="8" t="s">
        <v>42</v>
      </c>
      <c r="C46" s="9" t="s">
        <v>61</v>
      </c>
      <c r="D46" s="16" t="s">
        <v>7</v>
      </c>
      <c r="E46" s="11">
        <v>46335</v>
      </c>
      <c r="F46" s="11">
        <v>46346</v>
      </c>
      <c r="G46" s="7">
        <f t="shared" si="2"/>
        <v>12</v>
      </c>
      <c r="H46" s="7" t="s">
        <v>19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</row>
    <row r="47" spans="1:18" ht="19.5" customHeight="1" x14ac:dyDescent="0.25">
      <c r="A47" s="7">
        <v>42</v>
      </c>
      <c r="B47" s="8" t="s">
        <v>42</v>
      </c>
      <c r="C47" s="9" t="s">
        <v>62</v>
      </c>
      <c r="D47" s="10" t="s">
        <v>4</v>
      </c>
      <c r="E47" s="11">
        <v>46342</v>
      </c>
      <c r="F47" s="11">
        <v>46351</v>
      </c>
      <c r="G47" s="7">
        <f t="shared" si="2"/>
        <v>10</v>
      </c>
      <c r="H47" s="7" t="s">
        <v>19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</row>
    <row r="48" spans="1:18" ht="19.5" customHeight="1" x14ac:dyDescent="0.25">
      <c r="A48" s="7">
        <v>43</v>
      </c>
      <c r="B48" s="8" t="s">
        <v>42</v>
      </c>
      <c r="C48" s="9" t="s">
        <v>63</v>
      </c>
      <c r="D48" s="14" t="s">
        <v>6</v>
      </c>
      <c r="E48" s="11">
        <v>46342</v>
      </c>
      <c r="F48" s="11">
        <v>46350</v>
      </c>
      <c r="G48" s="7">
        <f t="shared" si="2"/>
        <v>9</v>
      </c>
      <c r="H48" s="7" t="s">
        <v>19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</row>
    <row r="49" spans="1:18" ht="19.5" customHeight="1" x14ac:dyDescent="0.25">
      <c r="A49" s="7">
        <v>44</v>
      </c>
      <c r="B49" s="8" t="s">
        <v>42</v>
      </c>
      <c r="C49" s="9" t="s">
        <v>64</v>
      </c>
      <c r="D49" s="14" t="s">
        <v>6</v>
      </c>
      <c r="E49" s="11">
        <v>46342</v>
      </c>
      <c r="F49" s="11">
        <v>46358</v>
      </c>
      <c r="G49" s="7">
        <f t="shared" si="2"/>
        <v>17</v>
      </c>
      <c r="H49" s="7" t="s">
        <v>19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</row>
    <row r="50" spans="1:18" ht="30" customHeight="1" x14ac:dyDescent="0.25">
      <c r="A50" s="7">
        <v>45</v>
      </c>
      <c r="B50" s="8" t="s">
        <v>42</v>
      </c>
      <c r="C50" s="9" t="s">
        <v>65</v>
      </c>
      <c r="D50" s="16" t="s">
        <v>7</v>
      </c>
      <c r="E50" s="11">
        <v>46342</v>
      </c>
      <c r="F50" s="11">
        <v>46353</v>
      </c>
      <c r="G50" s="7">
        <f t="shared" si="2"/>
        <v>12</v>
      </c>
      <c r="H50" s="7" t="s">
        <v>19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</row>
    <row r="51" spans="1:18" ht="19.5" customHeight="1" x14ac:dyDescent="0.25">
      <c r="A51" s="7">
        <v>46</v>
      </c>
      <c r="B51" s="8" t="s">
        <v>42</v>
      </c>
      <c r="C51" s="9" t="s">
        <v>66</v>
      </c>
      <c r="D51" s="10" t="s">
        <v>4</v>
      </c>
      <c r="E51" s="11">
        <v>46349</v>
      </c>
      <c r="F51" s="11">
        <v>46356</v>
      </c>
      <c r="G51" s="7">
        <f t="shared" si="2"/>
        <v>8</v>
      </c>
      <c r="H51" s="7" t="s">
        <v>19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</row>
    <row r="52" spans="1:18" ht="30" customHeight="1" x14ac:dyDescent="0.25">
      <c r="A52" s="7">
        <v>47</v>
      </c>
      <c r="B52" s="8" t="s">
        <v>67</v>
      </c>
      <c r="C52" s="9" t="s">
        <v>68</v>
      </c>
      <c r="D52" s="15" t="s">
        <v>8</v>
      </c>
      <c r="E52" s="11">
        <v>46335</v>
      </c>
      <c r="F52" s="11">
        <v>46358</v>
      </c>
      <c r="G52" s="7">
        <f t="shared" si="2"/>
        <v>24</v>
      </c>
      <c r="H52" s="7" t="s">
        <v>19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</row>
    <row r="53" spans="1:18" ht="30" customHeight="1" x14ac:dyDescent="0.25">
      <c r="A53" s="7">
        <v>48</v>
      </c>
      <c r="B53" s="8" t="s">
        <v>67</v>
      </c>
      <c r="C53" s="9" t="s">
        <v>69</v>
      </c>
      <c r="D53" s="15" t="s">
        <v>8</v>
      </c>
      <c r="E53" s="11">
        <v>46335</v>
      </c>
      <c r="F53" s="11">
        <v>46358</v>
      </c>
      <c r="G53" s="7">
        <f t="shared" si="2"/>
        <v>24</v>
      </c>
      <c r="H53" s="7" t="s">
        <v>19</v>
      </c>
      <c r="I53" s="12"/>
      <c r="J53" s="12"/>
      <c r="K53" s="12"/>
      <c r="L53" s="12"/>
      <c r="M53" s="12"/>
      <c r="N53" s="12"/>
      <c r="O53" s="12"/>
      <c r="P53" s="12"/>
      <c r="Q53" s="12"/>
      <c r="R53" s="12"/>
    </row>
    <row r="54" spans="1:18" ht="30" customHeight="1" x14ac:dyDescent="0.25">
      <c r="A54" s="7">
        <v>49</v>
      </c>
      <c r="B54" s="8" t="s">
        <v>67</v>
      </c>
      <c r="C54" s="9" t="s">
        <v>70</v>
      </c>
      <c r="D54" s="10" t="s">
        <v>4</v>
      </c>
      <c r="E54" s="11">
        <v>46342</v>
      </c>
      <c r="F54" s="11">
        <v>46353</v>
      </c>
      <c r="G54" s="7">
        <f t="shared" si="2"/>
        <v>12</v>
      </c>
      <c r="H54" s="7" t="s">
        <v>19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</row>
    <row r="55" spans="1:18" ht="30" customHeight="1" x14ac:dyDescent="0.25">
      <c r="A55" s="7">
        <v>50</v>
      </c>
      <c r="B55" s="8" t="s">
        <v>67</v>
      </c>
      <c r="C55" s="9" t="s">
        <v>71</v>
      </c>
      <c r="D55" s="13" t="s">
        <v>5</v>
      </c>
      <c r="E55" s="11">
        <v>46342</v>
      </c>
      <c r="F55" s="11">
        <v>46358</v>
      </c>
      <c r="G55" s="7">
        <f t="shared" si="2"/>
        <v>17</v>
      </c>
      <c r="H55" s="7" t="s">
        <v>19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</row>
    <row r="56" spans="1:18" ht="30" customHeight="1" x14ac:dyDescent="0.25">
      <c r="A56" s="7">
        <v>51</v>
      </c>
      <c r="B56" s="8" t="s">
        <v>67</v>
      </c>
      <c r="C56" s="9" t="s">
        <v>72</v>
      </c>
      <c r="D56" s="13" t="s">
        <v>5</v>
      </c>
      <c r="E56" s="11">
        <v>46342</v>
      </c>
      <c r="F56" s="11">
        <v>46353</v>
      </c>
      <c r="G56" s="7">
        <f t="shared" si="2"/>
        <v>12</v>
      </c>
      <c r="H56" s="7" t="s">
        <v>19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</row>
    <row r="57" spans="1:18" ht="30" customHeight="1" x14ac:dyDescent="0.25">
      <c r="A57" s="7">
        <v>52</v>
      </c>
      <c r="B57" s="8" t="s">
        <v>67</v>
      </c>
      <c r="C57" s="9" t="s">
        <v>73</v>
      </c>
      <c r="D57" s="14" t="s">
        <v>6</v>
      </c>
      <c r="E57" s="11">
        <v>46342</v>
      </c>
      <c r="F57" s="11">
        <v>46353</v>
      </c>
      <c r="G57" s="7">
        <f t="shared" si="2"/>
        <v>12</v>
      </c>
      <c r="H57" s="7" t="s">
        <v>19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</row>
    <row r="58" spans="1:18" ht="30" customHeight="1" x14ac:dyDescent="0.25">
      <c r="A58" s="7">
        <v>53</v>
      </c>
      <c r="B58" s="8" t="s">
        <v>67</v>
      </c>
      <c r="C58" s="9" t="s">
        <v>74</v>
      </c>
      <c r="D58" s="16" t="s">
        <v>7</v>
      </c>
      <c r="E58" s="11">
        <v>46342</v>
      </c>
      <c r="F58" s="11">
        <v>46353</v>
      </c>
      <c r="G58" s="7">
        <f t="shared" si="2"/>
        <v>12</v>
      </c>
      <c r="H58" s="7" t="s">
        <v>19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</row>
    <row r="59" spans="1:18" ht="19.5" customHeight="1" x14ac:dyDescent="0.25">
      <c r="A59" s="7">
        <v>54</v>
      </c>
      <c r="B59" s="8" t="s">
        <v>67</v>
      </c>
      <c r="C59" s="9" t="s">
        <v>75</v>
      </c>
      <c r="D59" s="15" t="s">
        <v>8</v>
      </c>
      <c r="E59" s="11">
        <v>46342</v>
      </c>
      <c r="F59" s="11">
        <v>46360</v>
      </c>
      <c r="G59" s="7">
        <f t="shared" si="2"/>
        <v>19</v>
      </c>
      <c r="H59" s="7" t="s">
        <v>19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</row>
    <row r="60" spans="1:18" ht="19.5" customHeight="1" x14ac:dyDescent="0.25">
      <c r="A60" s="7">
        <v>55</v>
      </c>
      <c r="B60" s="8" t="s">
        <v>67</v>
      </c>
      <c r="C60" s="9" t="s">
        <v>76</v>
      </c>
      <c r="D60" s="15" t="s">
        <v>8</v>
      </c>
      <c r="E60" s="11">
        <v>46342</v>
      </c>
      <c r="F60" s="11">
        <v>46353</v>
      </c>
      <c r="G60" s="7">
        <f t="shared" si="2"/>
        <v>12</v>
      </c>
      <c r="H60" s="7" t="s">
        <v>19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</row>
    <row r="61" spans="1:18" ht="30" customHeight="1" x14ac:dyDescent="0.25">
      <c r="A61" s="7">
        <v>56</v>
      </c>
      <c r="B61" s="8" t="s">
        <v>67</v>
      </c>
      <c r="C61" s="9" t="s">
        <v>77</v>
      </c>
      <c r="D61" s="14" t="s">
        <v>6</v>
      </c>
      <c r="E61" s="11">
        <v>46349</v>
      </c>
      <c r="F61" s="11">
        <v>46358</v>
      </c>
      <c r="G61" s="7">
        <f t="shared" si="2"/>
        <v>10</v>
      </c>
      <c r="H61" s="7" t="s">
        <v>19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</row>
    <row r="62" spans="1:18" ht="30" customHeight="1" x14ac:dyDescent="0.25">
      <c r="A62" s="7">
        <v>57</v>
      </c>
      <c r="B62" s="8" t="s">
        <v>67</v>
      </c>
      <c r="C62" s="9" t="s">
        <v>78</v>
      </c>
      <c r="D62" s="16" t="s">
        <v>7</v>
      </c>
      <c r="E62" s="11">
        <v>46349</v>
      </c>
      <c r="F62" s="11">
        <v>46358</v>
      </c>
      <c r="G62" s="7">
        <f t="shared" si="2"/>
        <v>10</v>
      </c>
      <c r="H62" s="7" t="s">
        <v>19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</row>
    <row r="63" spans="1:18" ht="19.5" customHeight="1" x14ac:dyDescent="0.25">
      <c r="A63" s="7">
        <v>58</v>
      </c>
      <c r="B63" s="8" t="s">
        <v>67</v>
      </c>
      <c r="C63" s="9" t="s">
        <v>79</v>
      </c>
      <c r="D63" s="15" t="s">
        <v>8</v>
      </c>
      <c r="E63" s="11">
        <v>46349</v>
      </c>
      <c r="F63" s="11">
        <v>46358</v>
      </c>
      <c r="G63" s="7">
        <f t="shared" si="2"/>
        <v>10</v>
      </c>
      <c r="H63" s="7" t="s">
        <v>19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</row>
    <row r="64" spans="1:18" ht="19.5" customHeight="1" x14ac:dyDescent="0.25">
      <c r="A64" s="7">
        <v>59</v>
      </c>
      <c r="B64" s="8" t="s">
        <v>67</v>
      </c>
      <c r="C64" s="9" t="s">
        <v>80</v>
      </c>
      <c r="D64" s="15" t="s">
        <v>8</v>
      </c>
      <c r="E64" s="11">
        <v>46349</v>
      </c>
      <c r="F64" s="11">
        <v>46358</v>
      </c>
      <c r="G64" s="7">
        <f t="shared" si="2"/>
        <v>10</v>
      </c>
      <c r="H64" s="7" t="s">
        <v>19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</row>
    <row r="65" spans="1:18" ht="19.5" customHeight="1" x14ac:dyDescent="0.25">
      <c r="A65" s="7">
        <v>60</v>
      </c>
      <c r="B65" s="8" t="s">
        <v>67</v>
      </c>
      <c r="C65" s="9" t="s">
        <v>81</v>
      </c>
      <c r="D65" s="10" t="s">
        <v>4</v>
      </c>
      <c r="E65" s="11">
        <v>46351</v>
      </c>
      <c r="F65" s="11">
        <v>46360</v>
      </c>
      <c r="G65" s="7">
        <f t="shared" si="2"/>
        <v>10</v>
      </c>
      <c r="H65" s="7" t="s">
        <v>19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</row>
    <row r="66" spans="1:18" ht="19.5" customHeight="1" x14ac:dyDescent="0.25">
      <c r="A66" s="7">
        <v>61</v>
      </c>
      <c r="B66" s="8" t="s">
        <v>67</v>
      </c>
      <c r="C66" s="9" t="s">
        <v>82</v>
      </c>
      <c r="D66" s="16" t="s">
        <v>7</v>
      </c>
      <c r="E66" s="11">
        <v>46351</v>
      </c>
      <c r="F66" s="11">
        <v>46360</v>
      </c>
      <c r="G66" s="7">
        <f t="shared" si="2"/>
        <v>10</v>
      </c>
      <c r="H66" s="7" t="s">
        <v>19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</row>
    <row r="67" spans="1:18" ht="19.5" customHeight="1" x14ac:dyDescent="0.25">
      <c r="A67" s="7">
        <v>62</v>
      </c>
      <c r="B67" s="8" t="s">
        <v>67</v>
      </c>
      <c r="C67" s="9" t="s">
        <v>83</v>
      </c>
      <c r="D67" s="15" t="s">
        <v>8</v>
      </c>
      <c r="E67" s="11">
        <v>46352</v>
      </c>
      <c r="F67" s="11">
        <v>46358</v>
      </c>
      <c r="G67" s="7">
        <f t="shared" si="2"/>
        <v>7</v>
      </c>
      <c r="H67" s="7" t="s">
        <v>19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</row>
    <row r="68" spans="1:18" ht="19.5" customHeight="1" x14ac:dyDescent="0.25">
      <c r="A68" s="7">
        <v>63</v>
      </c>
      <c r="B68" s="8" t="s">
        <v>67</v>
      </c>
      <c r="C68" s="9" t="s">
        <v>84</v>
      </c>
      <c r="D68" s="13" t="s">
        <v>5</v>
      </c>
      <c r="E68" s="11">
        <v>46356</v>
      </c>
      <c r="F68" s="11">
        <v>46360</v>
      </c>
      <c r="G68" s="7">
        <f t="shared" si="2"/>
        <v>5</v>
      </c>
      <c r="H68" s="7" t="s">
        <v>19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</row>
    <row r="70" spans="1:18" x14ac:dyDescent="0.25">
      <c r="A70" s="2" t="s">
        <v>85</v>
      </c>
    </row>
    <row r="71" spans="1:18" ht="24" customHeight="1" x14ac:dyDescent="0.25">
      <c r="A71" s="17" t="s">
        <v>86</v>
      </c>
      <c r="B71" s="18" t="s">
        <v>87</v>
      </c>
      <c r="C71" s="19" t="s">
        <v>88</v>
      </c>
      <c r="D71" s="18"/>
      <c r="E71" s="11">
        <v>46311</v>
      </c>
      <c r="F71" s="20">
        <f>E71</f>
        <v>46311</v>
      </c>
      <c r="G71" s="18"/>
      <c r="H71" s="18" t="s">
        <v>89</v>
      </c>
      <c r="I71" s="21" t="str">
        <f t="shared" ref="I71:R74" si="3">IF(AND($E71&gt;=I$5,$E71&lt;=I$5+6),"◆","")</f>
        <v/>
      </c>
      <c r="J71" s="21" t="str">
        <f t="shared" si="3"/>
        <v>◆</v>
      </c>
      <c r="K71" s="21" t="str">
        <f t="shared" si="3"/>
        <v/>
      </c>
      <c r="L71" s="21" t="str">
        <f t="shared" si="3"/>
        <v/>
      </c>
      <c r="M71" s="21" t="str">
        <f t="shared" si="3"/>
        <v/>
      </c>
      <c r="N71" s="21" t="str">
        <f t="shared" si="3"/>
        <v/>
      </c>
      <c r="O71" s="21" t="str">
        <f t="shared" si="3"/>
        <v/>
      </c>
      <c r="P71" s="21" t="str">
        <f t="shared" si="3"/>
        <v/>
      </c>
      <c r="Q71" s="21" t="str">
        <f t="shared" si="3"/>
        <v/>
      </c>
      <c r="R71" s="21" t="str">
        <f t="shared" si="3"/>
        <v/>
      </c>
    </row>
    <row r="72" spans="1:18" ht="24" customHeight="1" x14ac:dyDescent="0.25">
      <c r="A72" s="17" t="s">
        <v>86</v>
      </c>
      <c r="B72" s="18" t="s">
        <v>87</v>
      </c>
      <c r="C72" s="19" t="s">
        <v>90</v>
      </c>
      <c r="D72" s="18"/>
      <c r="E72" s="11">
        <v>46332</v>
      </c>
      <c r="F72" s="20">
        <f>E72</f>
        <v>46332</v>
      </c>
      <c r="G72" s="18"/>
      <c r="H72" s="18" t="s">
        <v>89</v>
      </c>
      <c r="I72" s="21" t="str">
        <f t="shared" si="3"/>
        <v/>
      </c>
      <c r="J72" s="21" t="str">
        <f t="shared" si="3"/>
        <v/>
      </c>
      <c r="K72" s="21" t="str">
        <f t="shared" si="3"/>
        <v/>
      </c>
      <c r="L72" s="21" t="str">
        <f t="shared" si="3"/>
        <v/>
      </c>
      <c r="M72" s="21" t="str">
        <f t="shared" si="3"/>
        <v>◆</v>
      </c>
      <c r="N72" s="21" t="str">
        <f t="shared" si="3"/>
        <v/>
      </c>
      <c r="O72" s="21" t="str">
        <f t="shared" si="3"/>
        <v/>
      </c>
      <c r="P72" s="21" t="str">
        <f t="shared" si="3"/>
        <v/>
      </c>
      <c r="Q72" s="21" t="str">
        <f t="shared" si="3"/>
        <v/>
      </c>
      <c r="R72" s="21" t="str">
        <f t="shared" si="3"/>
        <v/>
      </c>
    </row>
    <row r="73" spans="1:18" ht="24" customHeight="1" x14ac:dyDescent="0.25">
      <c r="A73" s="17" t="s">
        <v>86</v>
      </c>
      <c r="B73" s="18" t="s">
        <v>87</v>
      </c>
      <c r="C73" s="19" t="s">
        <v>91</v>
      </c>
      <c r="D73" s="18"/>
      <c r="E73" s="11">
        <v>46356</v>
      </c>
      <c r="F73" s="20">
        <f>E73</f>
        <v>46356</v>
      </c>
      <c r="G73" s="18"/>
      <c r="H73" s="18" t="s">
        <v>89</v>
      </c>
      <c r="I73" s="21" t="str">
        <f t="shared" si="3"/>
        <v/>
      </c>
      <c r="J73" s="21" t="str">
        <f t="shared" si="3"/>
        <v/>
      </c>
      <c r="K73" s="21" t="str">
        <f t="shared" si="3"/>
        <v/>
      </c>
      <c r="L73" s="21" t="str">
        <f t="shared" si="3"/>
        <v/>
      </c>
      <c r="M73" s="21" t="str">
        <f t="shared" si="3"/>
        <v/>
      </c>
      <c r="N73" s="21" t="str">
        <f t="shared" si="3"/>
        <v/>
      </c>
      <c r="O73" s="21" t="str">
        <f t="shared" si="3"/>
        <v/>
      </c>
      <c r="P73" s="21" t="str">
        <f t="shared" si="3"/>
        <v/>
      </c>
      <c r="Q73" s="21" t="str">
        <f t="shared" si="3"/>
        <v>◆</v>
      </c>
      <c r="R73" s="21" t="str">
        <f t="shared" si="3"/>
        <v/>
      </c>
    </row>
    <row r="74" spans="1:18" ht="24" customHeight="1" x14ac:dyDescent="0.25">
      <c r="A74" s="17" t="s">
        <v>86</v>
      </c>
      <c r="B74" s="18" t="s">
        <v>87</v>
      </c>
      <c r="C74" s="19" t="s">
        <v>92</v>
      </c>
      <c r="D74" s="18"/>
      <c r="E74" s="11">
        <v>46360</v>
      </c>
      <c r="F74" s="20">
        <f>E74</f>
        <v>46360</v>
      </c>
      <c r="G74" s="18"/>
      <c r="H74" s="18" t="s">
        <v>89</v>
      </c>
      <c r="I74" s="21" t="str">
        <f t="shared" si="3"/>
        <v/>
      </c>
      <c r="J74" s="21" t="str">
        <f t="shared" si="3"/>
        <v/>
      </c>
      <c r="K74" s="21" t="str">
        <f t="shared" si="3"/>
        <v/>
      </c>
      <c r="L74" s="21" t="str">
        <f t="shared" si="3"/>
        <v/>
      </c>
      <c r="M74" s="21" t="str">
        <f t="shared" si="3"/>
        <v/>
      </c>
      <c r="N74" s="21" t="str">
        <f t="shared" si="3"/>
        <v/>
      </c>
      <c r="O74" s="21" t="str">
        <f t="shared" si="3"/>
        <v/>
      </c>
      <c r="P74" s="21" t="str">
        <f t="shared" si="3"/>
        <v/>
      </c>
      <c r="Q74" s="21" t="str">
        <f t="shared" si="3"/>
        <v>◆</v>
      </c>
      <c r="R74" s="21" t="str">
        <f t="shared" si="3"/>
        <v/>
      </c>
    </row>
  </sheetData>
  <mergeCells count="6">
    <mergeCell ref="A3:R3"/>
    <mergeCell ref="I4:J4"/>
    <mergeCell ref="K4:L4"/>
    <mergeCell ref="M4:N4"/>
    <mergeCell ref="O4:P4"/>
    <mergeCell ref="Q4:R4"/>
  </mergeCells>
  <conditionalFormatting sqref="I6:R68">
    <cfRule type="expression" dxfId="41" priority="2">
      <formula>AND($D6="Ali",$E6&lt;=I$5+6,$F6&gt;=I$5)</formula>
    </cfRule>
    <cfRule type="expression" dxfId="40" priority="3">
      <formula>AND($D6="Salma",$E6&lt;=I$5+6,$F6&gt;=I$5)</formula>
    </cfRule>
    <cfRule type="expression" dxfId="39" priority="4">
      <formula>AND($D6="Sara",$E6&lt;=I$5+6,$F6&gt;=I$5)</formula>
    </cfRule>
    <cfRule type="expression" dxfId="38" priority="5">
      <formula>AND($D6="Yasmeen",$E6&lt;=I$5+6,$F6&gt;=I$5)</formula>
    </cfRule>
    <cfRule type="expression" dxfId="37" priority="6">
      <formula>AND($D6="Jessy",$E6&lt;=I$5+6,$F6&gt;=I$5)</formula>
    </cfRule>
  </conditionalFormatting>
  <conditionalFormatting sqref="H6:H68">
    <cfRule type="expression" dxfId="36" priority="7">
      <formula>$H6="Done"</formula>
    </cfRule>
    <cfRule type="expression" dxfId="35" priority="8">
      <formula>$H6="In Progress"</formula>
    </cfRule>
  </conditionalFormatting>
  <dataValidations count="1">
    <dataValidation type="list" sqref="H6:H68" xr:uid="{00000000-0002-0000-0000-000000000000}">
      <formula1>"Not Started,In Progress,Done"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73"/>
  <sheetViews>
    <sheetView showGridLines="0" zoomScaleNormal="100" workbookViewId="0">
      <pane xSplit="8" ySplit="5" topLeftCell="I6" activePane="bottomRight" state="frozen"/>
      <selection pane="topRight" activeCell="I1" sqref="I1"/>
      <selection pane="bottomLeft" activeCell="A6" sqref="A6"/>
      <selection pane="bottomRight"/>
    </sheetView>
  </sheetViews>
  <sheetFormatPr defaultColWidth="8.7109375" defaultRowHeight="15" x14ac:dyDescent="0.25"/>
  <cols>
    <col min="1" max="1" width="5" customWidth="1"/>
    <col min="2" max="2" width="15" customWidth="1"/>
    <col min="3" max="3" width="50" customWidth="1"/>
    <col min="4" max="4" width="11" customWidth="1"/>
    <col min="5" max="6" width="13" customWidth="1"/>
    <col min="7" max="7" width="7" customWidth="1"/>
    <col min="8" max="8" width="13" customWidth="1"/>
    <col min="9" max="18" width="5.5703125" customWidth="1"/>
  </cols>
  <sheetData>
    <row r="1" spans="1:18" ht="20.25" x14ac:dyDescent="0.3">
      <c r="A1" s="1" t="s">
        <v>0</v>
      </c>
    </row>
    <row r="2" spans="1:18" x14ac:dyDescent="0.25">
      <c r="A2" s="2" t="s">
        <v>1</v>
      </c>
    </row>
    <row r="3" spans="1:18" ht="30" customHeight="1" x14ac:dyDescent="0.25">
      <c r="A3" s="38" t="s">
        <v>93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</row>
    <row r="4" spans="1:18" x14ac:dyDescent="0.25">
      <c r="C4" s="3" t="s">
        <v>3</v>
      </c>
      <c r="D4" s="4"/>
      <c r="I4" s="39" t="s">
        <v>4</v>
      </c>
      <c r="J4" s="39"/>
      <c r="K4" s="40" t="s">
        <v>5</v>
      </c>
      <c r="L4" s="40"/>
      <c r="M4" s="41" t="s">
        <v>6</v>
      </c>
      <c r="N4" s="41"/>
      <c r="O4" s="42" t="s">
        <v>7</v>
      </c>
      <c r="P4" s="42"/>
      <c r="Q4" s="43" t="s">
        <v>8</v>
      </c>
      <c r="R4" s="43"/>
    </row>
    <row r="5" spans="1:18" ht="48" customHeight="1" x14ac:dyDescent="0.25">
      <c r="A5" s="5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  <c r="I5" s="6">
        <v>46300</v>
      </c>
      <c r="J5" s="6">
        <f t="shared" ref="J5:R5" si="0">I5+7</f>
        <v>46307</v>
      </c>
      <c r="K5" s="6">
        <f t="shared" si="0"/>
        <v>46314</v>
      </c>
      <c r="L5" s="6">
        <f t="shared" si="0"/>
        <v>46321</v>
      </c>
      <c r="M5" s="6">
        <f t="shared" si="0"/>
        <v>46328</v>
      </c>
      <c r="N5" s="6">
        <f t="shared" si="0"/>
        <v>46335</v>
      </c>
      <c r="O5" s="6">
        <f t="shared" si="0"/>
        <v>46342</v>
      </c>
      <c r="P5" s="6">
        <f t="shared" si="0"/>
        <v>46349</v>
      </c>
      <c r="Q5" s="6">
        <f t="shared" si="0"/>
        <v>46356</v>
      </c>
      <c r="R5" s="6">
        <f t="shared" si="0"/>
        <v>46363</v>
      </c>
    </row>
    <row r="6" spans="1:18" ht="21.75" customHeight="1" x14ac:dyDescent="0.25">
      <c r="A6" s="44" t="s">
        <v>94</v>
      </c>
      <c r="B6" s="44"/>
      <c r="C6" s="44"/>
      <c r="D6" s="44"/>
      <c r="E6" s="44"/>
      <c r="F6" s="44"/>
      <c r="G6" s="44"/>
      <c r="H6" s="44"/>
      <c r="I6" s="22"/>
      <c r="J6" s="22"/>
      <c r="K6" s="22"/>
      <c r="L6" s="22"/>
      <c r="M6" s="22"/>
      <c r="N6" s="22"/>
      <c r="O6" s="22"/>
      <c r="P6" s="22"/>
      <c r="Q6" s="22"/>
      <c r="R6" s="22"/>
    </row>
    <row r="7" spans="1:18" ht="30" customHeight="1" x14ac:dyDescent="0.25">
      <c r="A7" s="7">
        <v>1</v>
      </c>
      <c r="B7" s="8" t="s">
        <v>17</v>
      </c>
      <c r="C7" s="9" t="s">
        <v>18</v>
      </c>
      <c r="D7" s="10" t="s">
        <v>4</v>
      </c>
      <c r="E7" s="11">
        <v>46300</v>
      </c>
      <c r="F7" s="11">
        <v>46304</v>
      </c>
      <c r="G7" s="7">
        <f t="shared" ref="G7:G24" si="1">F7-E7+1</f>
        <v>5</v>
      </c>
      <c r="H7" s="7" t="s">
        <v>19</v>
      </c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1:18" ht="19.5" customHeight="1" x14ac:dyDescent="0.25">
      <c r="A8" s="7">
        <v>2</v>
      </c>
      <c r="B8" s="8" t="s">
        <v>17</v>
      </c>
      <c r="C8" s="9" t="s">
        <v>20</v>
      </c>
      <c r="D8" s="10" t="s">
        <v>4</v>
      </c>
      <c r="E8" s="11">
        <v>46300</v>
      </c>
      <c r="F8" s="11">
        <v>46311</v>
      </c>
      <c r="G8" s="7">
        <f t="shared" si="1"/>
        <v>12</v>
      </c>
      <c r="H8" s="7" t="s">
        <v>19</v>
      </c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18" ht="19.5" customHeight="1" x14ac:dyDescent="0.25">
      <c r="A9" s="7">
        <v>3</v>
      </c>
      <c r="B9" s="8" t="s">
        <v>17</v>
      </c>
      <c r="C9" s="9" t="s">
        <v>21</v>
      </c>
      <c r="D9" s="10" t="s">
        <v>4</v>
      </c>
      <c r="E9" s="11">
        <v>46300</v>
      </c>
      <c r="F9" s="11">
        <v>46304</v>
      </c>
      <c r="G9" s="7">
        <f t="shared" si="1"/>
        <v>5</v>
      </c>
      <c r="H9" s="7" t="s">
        <v>19</v>
      </c>
      <c r="I9" s="12"/>
      <c r="J9" s="12"/>
      <c r="K9" s="12"/>
      <c r="L9" s="12"/>
      <c r="M9" s="12"/>
      <c r="N9" s="12"/>
      <c r="O9" s="12"/>
      <c r="P9" s="12"/>
      <c r="Q9" s="12"/>
      <c r="R9" s="12"/>
    </row>
    <row r="10" spans="1:18" ht="30" customHeight="1" x14ac:dyDescent="0.25">
      <c r="A10" s="7">
        <v>4</v>
      </c>
      <c r="B10" s="8" t="s">
        <v>17</v>
      </c>
      <c r="C10" s="9" t="s">
        <v>22</v>
      </c>
      <c r="D10" s="10" t="s">
        <v>4</v>
      </c>
      <c r="E10" s="11">
        <v>46300</v>
      </c>
      <c r="F10" s="11">
        <v>46304</v>
      </c>
      <c r="G10" s="7">
        <f t="shared" si="1"/>
        <v>5</v>
      </c>
      <c r="H10" s="7" t="s">
        <v>19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spans="1:18" ht="19.5" customHeight="1" x14ac:dyDescent="0.25">
      <c r="A11" s="7">
        <v>5</v>
      </c>
      <c r="B11" s="8" t="s">
        <v>17</v>
      </c>
      <c r="C11" s="9" t="s">
        <v>23</v>
      </c>
      <c r="D11" s="10" t="s">
        <v>4</v>
      </c>
      <c r="E11" s="11">
        <v>46300</v>
      </c>
      <c r="F11" s="11">
        <v>46304</v>
      </c>
      <c r="G11" s="7">
        <f t="shared" si="1"/>
        <v>5</v>
      </c>
      <c r="H11" s="7" t="s">
        <v>19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ht="30" customHeight="1" x14ac:dyDescent="0.25">
      <c r="A12" s="7">
        <v>10</v>
      </c>
      <c r="B12" s="8" t="s">
        <v>17</v>
      </c>
      <c r="C12" s="9" t="s">
        <v>28</v>
      </c>
      <c r="D12" s="10" t="s">
        <v>4</v>
      </c>
      <c r="E12" s="11">
        <v>46300</v>
      </c>
      <c r="F12" s="11">
        <v>46360</v>
      </c>
      <c r="G12" s="7">
        <f t="shared" si="1"/>
        <v>61</v>
      </c>
      <c r="H12" s="7" t="s">
        <v>19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spans="1:18" ht="30" customHeight="1" x14ac:dyDescent="0.25">
      <c r="A13" s="7">
        <v>11</v>
      </c>
      <c r="B13" s="8" t="s">
        <v>17</v>
      </c>
      <c r="C13" s="9" t="s">
        <v>29</v>
      </c>
      <c r="D13" s="10" t="s">
        <v>4</v>
      </c>
      <c r="E13" s="11">
        <v>46300</v>
      </c>
      <c r="F13" s="11">
        <v>46360</v>
      </c>
      <c r="G13" s="7">
        <f t="shared" si="1"/>
        <v>61</v>
      </c>
      <c r="H13" s="7" t="s">
        <v>19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spans="1:18" ht="30" customHeight="1" x14ac:dyDescent="0.25">
      <c r="A14" s="7">
        <v>12</v>
      </c>
      <c r="B14" s="8" t="s">
        <v>30</v>
      </c>
      <c r="C14" s="9" t="s">
        <v>31</v>
      </c>
      <c r="D14" s="10" t="s">
        <v>4</v>
      </c>
      <c r="E14" s="11">
        <v>46300</v>
      </c>
      <c r="F14" s="11">
        <v>46325</v>
      </c>
      <c r="G14" s="7">
        <f t="shared" si="1"/>
        <v>26</v>
      </c>
      <c r="H14" s="7" t="s">
        <v>19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spans="1:18" ht="30" customHeight="1" x14ac:dyDescent="0.25">
      <c r="A15" s="7">
        <v>15</v>
      </c>
      <c r="B15" s="8" t="s">
        <v>30</v>
      </c>
      <c r="C15" s="9" t="s">
        <v>34</v>
      </c>
      <c r="D15" s="10" t="s">
        <v>4</v>
      </c>
      <c r="E15" s="11">
        <v>46307</v>
      </c>
      <c r="F15" s="11">
        <v>46325</v>
      </c>
      <c r="G15" s="7">
        <f t="shared" si="1"/>
        <v>19</v>
      </c>
      <c r="H15" s="7" t="s">
        <v>19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 spans="1:18" ht="19.5" customHeight="1" x14ac:dyDescent="0.25">
      <c r="A16" s="7">
        <v>23</v>
      </c>
      <c r="B16" s="8" t="s">
        <v>42</v>
      </c>
      <c r="C16" s="9" t="s">
        <v>43</v>
      </c>
      <c r="D16" s="10" t="s">
        <v>4</v>
      </c>
      <c r="E16" s="11">
        <v>46311</v>
      </c>
      <c r="F16" s="11">
        <v>46339</v>
      </c>
      <c r="G16" s="7">
        <f t="shared" si="1"/>
        <v>29</v>
      </c>
      <c r="H16" s="7" t="s">
        <v>19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pans="1:18" ht="19.5" customHeight="1" x14ac:dyDescent="0.25">
      <c r="A17" s="7">
        <v>25</v>
      </c>
      <c r="B17" s="8" t="s">
        <v>42</v>
      </c>
      <c r="C17" s="9" t="s">
        <v>45</v>
      </c>
      <c r="D17" s="10" t="s">
        <v>4</v>
      </c>
      <c r="E17" s="11">
        <v>46321</v>
      </c>
      <c r="F17" s="11">
        <v>46339</v>
      </c>
      <c r="G17" s="7">
        <f t="shared" si="1"/>
        <v>19</v>
      </c>
      <c r="H17" s="7" t="s">
        <v>19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 spans="1:18" ht="30" customHeight="1" x14ac:dyDescent="0.25">
      <c r="A18" s="7">
        <v>26</v>
      </c>
      <c r="B18" s="8" t="s">
        <v>42</v>
      </c>
      <c r="C18" s="9" t="s">
        <v>46</v>
      </c>
      <c r="D18" s="10" t="s">
        <v>4</v>
      </c>
      <c r="E18" s="11">
        <v>46321</v>
      </c>
      <c r="F18" s="11">
        <v>46339</v>
      </c>
      <c r="G18" s="7">
        <f t="shared" si="1"/>
        <v>19</v>
      </c>
      <c r="H18" s="7" t="s">
        <v>19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spans="1:18" ht="19.5" customHeight="1" x14ac:dyDescent="0.25">
      <c r="A19" s="7">
        <v>37</v>
      </c>
      <c r="B19" s="8" t="s">
        <v>42</v>
      </c>
      <c r="C19" s="9" t="s">
        <v>57</v>
      </c>
      <c r="D19" s="10" t="s">
        <v>4</v>
      </c>
      <c r="E19" s="11">
        <v>46335</v>
      </c>
      <c r="F19" s="11">
        <v>46351</v>
      </c>
      <c r="G19" s="7">
        <f t="shared" si="1"/>
        <v>17</v>
      </c>
      <c r="H19" s="7" t="s">
        <v>19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 spans="1:18" ht="19.5" customHeight="1" x14ac:dyDescent="0.25">
      <c r="A20" s="7">
        <v>38</v>
      </c>
      <c r="B20" s="8" t="s">
        <v>42</v>
      </c>
      <c r="C20" s="9" t="s">
        <v>58</v>
      </c>
      <c r="D20" s="10" t="s">
        <v>4</v>
      </c>
      <c r="E20" s="11">
        <v>46335</v>
      </c>
      <c r="F20" s="11">
        <v>46351</v>
      </c>
      <c r="G20" s="7">
        <f t="shared" si="1"/>
        <v>17</v>
      </c>
      <c r="H20" s="7" t="s">
        <v>19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 spans="1:18" ht="19.5" customHeight="1" x14ac:dyDescent="0.25">
      <c r="A21" s="7">
        <v>42</v>
      </c>
      <c r="B21" s="8" t="s">
        <v>42</v>
      </c>
      <c r="C21" s="9" t="s">
        <v>62</v>
      </c>
      <c r="D21" s="10" t="s">
        <v>4</v>
      </c>
      <c r="E21" s="11">
        <v>46342</v>
      </c>
      <c r="F21" s="11">
        <v>46351</v>
      </c>
      <c r="G21" s="7">
        <f t="shared" si="1"/>
        <v>10</v>
      </c>
      <c r="H21" s="7" t="s">
        <v>19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 spans="1:18" ht="30" customHeight="1" x14ac:dyDescent="0.25">
      <c r="A22" s="7">
        <v>49</v>
      </c>
      <c r="B22" s="8" t="s">
        <v>67</v>
      </c>
      <c r="C22" s="9" t="s">
        <v>70</v>
      </c>
      <c r="D22" s="10" t="s">
        <v>4</v>
      </c>
      <c r="E22" s="11">
        <v>46342</v>
      </c>
      <c r="F22" s="11">
        <v>46353</v>
      </c>
      <c r="G22" s="7">
        <f t="shared" si="1"/>
        <v>12</v>
      </c>
      <c r="H22" s="7" t="s">
        <v>19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 spans="1:18" ht="19.5" customHeight="1" x14ac:dyDescent="0.25">
      <c r="A23" s="7">
        <v>46</v>
      </c>
      <c r="B23" s="8" t="s">
        <v>42</v>
      </c>
      <c r="C23" s="9" t="s">
        <v>66</v>
      </c>
      <c r="D23" s="10" t="s">
        <v>4</v>
      </c>
      <c r="E23" s="11">
        <v>46349</v>
      </c>
      <c r="F23" s="11">
        <v>46356</v>
      </c>
      <c r="G23" s="7">
        <f t="shared" si="1"/>
        <v>8</v>
      </c>
      <c r="H23" s="7" t="s">
        <v>19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 spans="1:18" ht="19.5" customHeight="1" x14ac:dyDescent="0.25">
      <c r="A24" s="7">
        <v>60</v>
      </c>
      <c r="B24" s="8" t="s">
        <v>67</v>
      </c>
      <c r="C24" s="9" t="s">
        <v>81</v>
      </c>
      <c r="D24" s="10" t="s">
        <v>4</v>
      </c>
      <c r="E24" s="11">
        <v>46351</v>
      </c>
      <c r="F24" s="11">
        <v>46360</v>
      </c>
      <c r="G24" s="7">
        <f t="shared" si="1"/>
        <v>10</v>
      </c>
      <c r="H24" s="7" t="s">
        <v>19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spans="1:18" ht="21.75" customHeight="1" x14ac:dyDescent="0.25">
      <c r="A25" s="45" t="s">
        <v>95</v>
      </c>
      <c r="B25" s="45"/>
      <c r="C25" s="45"/>
      <c r="D25" s="45"/>
      <c r="E25" s="45"/>
      <c r="F25" s="45"/>
      <c r="G25" s="45"/>
      <c r="H25" s="45"/>
      <c r="I25" s="23"/>
      <c r="J25" s="23"/>
      <c r="K25" s="23"/>
      <c r="L25" s="23"/>
      <c r="M25" s="23"/>
      <c r="N25" s="23"/>
      <c r="O25" s="23"/>
      <c r="P25" s="23"/>
      <c r="Q25" s="23"/>
      <c r="R25" s="23"/>
    </row>
    <row r="26" spans="1:18" ht="19.5" customHeight="1" x14ac:dyDescent="0.25">
      <c r="A26" s="7">
        <v>6</v>
      </c>
      <c r="B26" s="8" t="s">
        <v>17</v>
      </c>
      <c r="C26" s="9" t="s">
        <v>24</v>
      </c>
      <c r="D26" s="13" t="s">
        <v>5</v>
      </c>
      <c r="E26" s="11">
        <v>46300</v>
      </c>
      <c r="F26" s="11">
        <v>46309</v>
      </c>
      <c r="G26" s="7">
        <f t="shared" ref="G26:G36" si="2">F26-E26+1</f>
        <v>10</v>
      </c>
      <c r="H26" s="7" t="s">
        <v>19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 spans="1:18" ht="19.5" customHeight="1" x14ac:dyDescent="0.25">
      <c r="A27" s="7">
        <v>13</v>
      </c>
      <c r="B27" s="8" t="s">
        <v>30</v>
      </c>
      <c r="C27" s="9" t="s">
        <v>32</v>
      </c>
      <c r="D27" s="13" t="s">
        <v>5</v>
      </c>
      <c r="E27" s="11">
        <v>46300</v>
      </c>
      <c r="F27" s="11">
        <v>46318</v>
      </c>
      <c r="G27" s="7">
        <f t="shared" si="2"/>
        <v>19</v>
      </c>
      <c r="H27" s="7" t="s">
        <v>19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 spans="1:18" ht="30" customHeight="1" x14ac:dyDescent="0.25">
      <c r="A28" s="7">
        <v>24</v>
      </c>
      <c r="B28" s="8" t="s">
        <v>42</v>
      </c>
      <c r="C28" s="9" t="s">
        <v>44</v>
      </c>
      <c r="D28" s="13" t="s">
        <v>5</v>
      </c>
      <c r="E28" s="11">
        <v>46314</v>
      </c>
      <c r="F28" s="11">
        <v>46339</v>
      </c>
      <c r="G28" s="7">
        <f t="shared" si="2"/>
        <v>26</v>
      </c>
      <c r="H28" s="7" t="s">
        <v>19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 spans="1:18" ht="30" customHeight="1" x14ac:dyDescent="0.25">
      <c r="A29" s="7">
        <v>27</v>
      </c>
      <c r="B29" s="8" t="s">
        <v>42</v>
      </c>
      <c r="C29" s="9" t="s">
        <v>47</v>
      </c>
      <c r="D29" s="13" t="s">
        <v>5</v>
      </c>
      <c r="E29" s="11">
        <v>46321</v>
      </c>
      <c r="F29" s="11">
        <v>46346</v>
      </c>
      <c r="G29" s="7">
        <f t="shared" si="2"/>
        <v>26</v>
      </c>
      <c r="H29" s="7" t="s">
        <v>19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</row>
    <row r="30" spans="1:18" ht="19.5" customHeight="1" x14ac:dyDescent="0.25">
      <c r="A30" s="7">
        <v>28</v>
      </c>
      <c r="B30" s="8" t="s">
        <v>42</v>
      </c>
      <c r="C30" s="9" t="s">
        <v>48</v>
      </c>
      <c r="D30" s="13" t="s">
        <v>5</v>
      </c>
      <c r="E30" s="11">
        <v>46321</v>
      </c>
      <c r="F30" s="11">
        <v>46346</v>
      </c>
      <c r="G30" s="7">
        <f t="shared" si="2"/>
        <v>26</v>
      </c>
      <c r="H30" s="7" t="s">
        <v>19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 spans="1:18" ht="19.5" customHeight="1" x14ac:dyDescent="0.25">
      <c r="A31" s="7">
        <v>33</v>
      </c>
      <c r="B31" s="8" t="s">
        <v>42</v>
      </c>
      <c r="C31" s="9" t="s">
        <v>53</v>
      </c>
      <c r="D31" s="13" t="s">
        <v>5</v>
      </c>
      <c r="E31" s="11">
        <v>46328</v>
      </c>
      <c r="F31" s="11">
        <v>46346</v>
      </c>
      <c r="G31" s="7">
        <f t="shared" si="2"/>
        <v>19</v>
      </c>
      <c r="H31" s="7" t="s">
        <v>19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spans="1:18" ht="19.5" customHeight="1" x14ac:dyDescent="0.25">
      <c r="A32" s="7">
        <v>39</v>
      </c>
      <c r="B32" s="8" t="s">
        <v>42</v>
      </c>
      <c r="C32" s="9" t="s">
        <v>59</v>
      </c>
      <c r="D32" s="13" t="s">
        <v>5</v>
      </c>
      <c r="E32" s="11">
        <v>46335</v>
      </c>
      <c r="F32" s="11">
        <v>46346</v>
      </c>
      <c r="G32" s="7">
        <f t="shared" si="2"/>
        <v>12</v>
      </c>
      <c r="H32" s="7" t="s">
        <v>19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</row>
    <row r="33" spans="1:18" ht="30" customHeight="1" x14ac:dyDescent="0.25">
      <c r="A33" s="7">
        <v>40</v>
      </c>
      <c r="B33" s="8" t="s">
        <v>42</v>
      </c>
      <c r="C33" s="9" t="s">
        <v>60</v>
      </c>
      <c r="D33" s="13" t="s">
        <v>5</v>
      </c>
      <c r="E33" s="11">
        <v>46335</v>
      </c>
      <c r="F33" s="11">
        <v>46353</v>
      </c>
      <c r="G33" s="7">
        <f t="shared" si="2"/>
        <v>19</v>
      </c>
      <c r="H33" s="7" t="s">
        <v>19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</row>
    <row r="34" spans="1:18" ht="30" customHeight="1" x14ac:dyDescent="0.25">
      <c r="A34" s="7">
        <v>50</v>
      </c>
      <c r="B34" s="8" t="s">
        <v>67</v>
      </c>
      <c r="C34" s="9" t="s">
        <v>71</v>
      </c>
      <c r="D34" s="13" t="s">
        <v>5</v>
      </c>
      <c r="E34" s="11">
        <v>46342</v>
      </c>
      <c r="F34" s="11">
        <v>46358</v>
      </c>
      <c r="G34" s="7">
        <f t="shared" si="2"/>
        <v>17</v>
      </c>
      <c r="H34" s="7" t="s">
        <v>19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</row>
    <row r="35" spans="1:18" ht="30" customHeight="1" x14ac:dyDescent="0.25">
      <c r="A35" s="7">
        <v>51</v>
      </c>
      <c r="B35" s="8" t="s">
        <v>67</v>
      </c>
      <c r="C35" s="9" t="s">
        <v>72</v>
      </c>
      <c r="D35" s="13" t="s">
        <v>5</v>
      </c>
      <c r="E35" s="11">
        <v>46342</v>
      </c>
      <c r="F35" s="11">
        <v>46353</v>
      </c>
      <c r="G35" s="7">
        <f t="shared" si="2"/>
        <v>12</v>
      </c>
      <c r="H35" s="7" t="s">
        <v>19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</row>
    <row r="36" spans="1:18" ht="19.5" customHeight="1" x14ac:dyDescent="0.25">
      <c r="A36" s="7">
        <v>63</v>
      </c>
      <c r="B36" s="8" t="s">
        <v>67</v>
      </c>
      <c r="C36" s="9" t="s">
        <v>84</v>
      </c>
      <c r="D36" s="13" t="s">
        <v>5</v>
      </c>
      <c r="E36" s="11">
        <v>46356</v>
      </c>
      <c r="F36" s="11">
        <v>46360</v>
      </c>
      <c r="G36" s="7">
        <f t="shared" si="2"/>
        <v>5</v>
      </c>
      <c r="H36" s="7" t="s">
        <v>19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spans="1:18" ht="21.75" customHeight="1" x14ac:dyDescent="0.25">
      <c r="A37" s="46" t="s">
        <v>96</v>
      </c>
      <c r="B37" s="46"/>
      <c r="C37" s="46"/>
      <c r="D37" s="46"/>
      <c r="E37" s="46"/>
      <c r="F37" s="46"/>
      <c r="G37" s="46"/>
      <c r="H37" s="46"/>
      <c r="I37" s="24"/>
      <c r="J37" s="24"/>
      <c r="K37" s="24"/>
      <c r="L37" s="24"/>
      <c r="M37" s="24"/>
      <c r="N37" s="24"/>
      <c r="O37" s="24"/>
      <c r="P37" s="24"/>
      <c r="Q37" s="24"/>
      <c r="R37" s="24"/>
    </row>
    <row r="38" spans="1:18" ht="30" customHeight="1" x14ac:dyDescent="0.25">
      <c r="A38" s="7">
        <v>7</v>
      </c>
      <c r="B38" s="8" t="s">
        <v>17</v>
      </c>
      <c r="C38" s="9" t="s">
        <v>25</v>
      </c>
      <c r="D38" s="14" t="s">
        <v>6</v>
      </c>
      <c r="E38" s="11">
        <v>46300</v>
      </c>
      <c r="F38" s="11">
        <v>46309</v>
      </c>
      <c r="G38" s="7">
        <f t="shared" ref="G38:G47" si="3">F38-E38+1</f>
        <v>10</v>
      </c>
      <c r="H38" s="7" t="s">
        <v>19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1:18" ht="30" customHeight="1" x14ac:dyDescent="0.25">
      <c r="A39" s="7">
        <v>16</v>
      </c>
      <c r="B39" s="8" t="s">
        <v>30</v>
      </c>
      <c r="C39" s="9" t="s">
        <v>35</v>
      </c>
      <c r="D39" s="14" t="s">
        <v>6</v>
      </c>
      <c r="E39" s="11">
        <v>46307</v>
      </c>
      <c r="F39" s="11">
        <v>46325</v>
      </c>
      <c r="G39" s="7">
        <f t="shared" si="3"/>
        <v>19</v>
      </c>
      <c r="H39" s="7" t="s">
        <v>19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 spans="1:18" ht="30" customHeight="1" x14ac:dyDescent="0.25">
      <c r="A40" s="7">
        <v>19</v>
      </c>
      <c r="B40" s="8" t="s">
        <v>30</v>
      </c>
      <c r="C40" s="9" t="s">
        <v>38</v>
      </c>
      <c r="D40" s="14" t="s">
        <v>6</v>
      </c>
      <c r="E40" s="11">
        <v>46314</v>
      </c>
      <c r="F40" s="11">
        <v>46332</v>
      </c>
      <c r="G40" s="7">
        <f t="shared" si="3"/>
        <v>19</v>
      </c>
      <c r="H40" s="7" t="s">
        <v>19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spans="1:18" ht="19.5" customHeight="1" x14ac:dyDescent="0.25">
      <c r="A41" s="7">
        <v>29</v>
      </c>
      <c r="B41" s="8" t="s">
        <v>42</v>
      </c>
      <c r="C41" s="9" t="s">
        <v>49</v>
      </c>
      <c r="D41" s="14" t="s">
        <v>6</v>
      </c>
      <c r="E41" s="11">
        <v>46321</v>
      </c>
      <c r="F41" s="11">
        <v>46339</v>
      </c>
      <c r="G41" s="7">
        <f t="shared" si="3"/>
        <v>19</v>
      </c>
      <c r="H41" s="7" t="s">
        <v>19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</row>
    <row r="42" spans="1:18" ht="30" customHeight="1" x14ac:dyDescent="0.25">
      <c r="A42" s="7">
        <v>34</v>
      </c>
      <c r="B42" s="8" t="s">
        <v>42</v>
      </c>
      <c r="C42" s="9" t="s">
        <v>54</v>
      </c>
      <c r="D42" s="14" t="s">
        <v>6</v>
      </c>
      <c r="E42" s="11">
        <v>46328</v>
      </c>
      <c r="F42" s="11">
        <v>46346</v>
      </c>
      <c r="G42" s="7">
        <f t="shared" si="3"/>
        <v>19</v>
      </c>
      <c r="H42" s="7" t="s">
        <v>19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</row>
    <row r="43" spans="1:18" ht="30" customHeight="1" x14ac:dyDescent="0.25">
      <c r="A43" s="7">
        <v>35</v>
      </c>
      <c r="B43" s="8" t="s">
        <v>42</v>
      </c>
      <c r="C43" s="9" t="s">
        <v>55</v>
      </c>
      <c r="D43" s="14" t="s">
        <v>6</v>
      </c>
      <c r="E43" s="11">
        <v>46328</v>
      </c>
      <c r="F43" s="11">
        <v>46346</v>
      </c>
      <c r="G43" s="7">
        <f t="shared" si="3"/>
        <v>19</v>
      </c>
      <c r="H43" s="7" t="s">
        <v>19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</row>
    <row r="44" spans="1:18" ht="19.5" customHeight="1" x14ac:dyDescent="0.25">
      <c r="A44" s="7">
        <v>43</v>
      </c>
      <c r="B44" s="8" t="s">
        <v>42</v>
      </c>
      <c r="C44" s="9" t="s">
        <v>63</v>
      </c>
      <c r="D44" s="14" t="s">
        <v>6</v>
      </c>
      <c r="E44" s="11">
        <v>46342</v>
      </c>
      <c r="F44" s="11">
        <v>46350</v>
      </c>
      <c r="G44" s="7">
        <f t="shared" si="3"/>
        <v>9</v>
      </c>
      <c r="H44" s="7" t="s">
        <v>19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</row>
    <row r="45" spans="1:18" ht="19.5" customHeight="1" x14ac:dyDescent="0.25">
      <c r="A45" s="7">
        <v>44</v>
      </c>
      <c r="B45" s="8" t="s">
        <v>42</v>
      </c>
      <c r="C45" s="9" t="s">
        <v>64</v>
      </c>
      <c r="D45" s="14" t="s">
        <v>6</v>
      </c>
      <c r="E45" s="11">
        <v>46342</v>
      </c>
      <c r="F45" s="11">
        <v>46358</v>
      </c>
      <c r="G45" s="7">
        <f t="shared" si="3"/>
        <v>17</v>
      </c>
      <c r="H45" s="7" t="s">
        <v>19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</row>
    <row r="46" spans="1:18" ht="30" customHeight="1" x14ac:dyDescent="0.25">
      <c r="A46" s="7">
        <v>52</v>
      </c>
      <c r="B46" s="8" t="s">
        <v>67</v>
      </c>
      <c r="C46" s="9" t="s">
        <v>73</v>
      </c>
      <c r="D46" s="14" t="s">
        <v>6</v>
      </c>
      <c r="E46" s="11">
        <v>46342</v>
      </c>
      <c r="F46" s="11">
        <v>46353</v>
      </c>
      <c r="G46" s="7">
        <f t="shared" si="3"/>
        <v>12</v>
      </c>
      <c r="H46" s="7" t="s">
        <v>19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</row>
    <row r="47" spans="1:18" ht="30" customHeight="1" x14ac:dyDescent="0.25">
      <c r="A47" s="7">
        <v>56</v>
      </c>
      <c r="B47" s="8" t="s">
        <v>67</v>
      </c>
      <c r="C47" s="9" t="s">
        <v>77</v>
      </c>
      <c r="D47" s="14" t="s">
        <v>6</v>
      </c>
      <c r="E47" s="11">
        <v>46349</v>
      </c>
      <c r="F47" s="11">
        <v>46358</v>
      </c>
      <c r="G47" s="7">
        <f t="shared" si="3"/>
        <v>10</v>
      </c>
      <c r="H47" s="7" t="s">
        <v>19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</row>
    <row r="48" spans="1:18" ht="21.75" customHeight="1" x14ac:dyDescent="0.25">
      <c r="A48" s="47" t="s">
        <v>97</v>
      </c>
      <c r="B48" s="47"/>
      <c r="C48" s="47"/>
      <c r="D48" s="47"/>
      <c r="E48" s="47"/>
      <c r="F48" s="47"/>
      <c r="G48" s="47"/>
      <c r="H48" s="47"/>
      <c r="I48" s="25"/>
      <c r="J48" s="25"/>
      <c r="K48" s="25"/>
      <c r="L48" s="25"/>
      <c r="M48" s="25"/>
      <c r="N48" s="25"/>
      <c r="O48" s="25"/>
      <c r="P48" s="25"/>
      <c r="Q48" s="25"/>
      <c r="R48" s="25"/>
    </row>
    <row r="49" spans="1:18" ht="30" customHeight="1" x14ac:dyDescent="0.25">
      <c r="A49" s="7">
        <v>14</v>
      </c>
      <c r="B49" s="8" t="s">
        <v>30</v>
      </c>
      <c r="C49" s="9" t="s">
        <v>33</v>
      </c>
      <c r="D49" s="16" t="s">
        <v>7</v>
      </c>
      <c r="E49" s="11">
        <v>46300</v>
      </c>
      <c r="F49" s="11">
        <v>46318</v>
      </c>
      <c r="G49" s="7">
        <f t="shared" ref="G49:G58" si="4">F49-E49+1</f>
        <v>19</v>
      </c>
      <c r="H49" s="7" t="s">
        <v>19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</row>
    <row r="50" spans="1:18" ht="19.5" customHeight="1" x14ac:dyDescent="0.25">
      <c r="A50" s="7">
        <v>20</v>
      </c>
      <c r="B50" s="8" t="s">
        <v>30</v>
      </c>
      <c r="C50" s="9" t="s">
        <v>39</v>
      </c>
      <c r="D50" s="16" t="s">
        <v>7</v>
      </c>
      <c r="E50" s="11">
        <v>46314</v>
      </c>
      <c r="F50" s="11">
        <v>46325</v>
      </c>
      <c r="G50" s="7">
        <f t="shared" si="4"/>
        <v>12</v>
      </c>
      <c r="H50" s="7" t="s">
        <v>19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</row>
    <row r="51" spans="1:18" ht="19.5" customHeight="1" x14ac:dyDescent="0.25">
      <c r="A51" s="7">
        <v>30</v>
      </c>
      <c r="B51" s="8" t="s">
        <v>42</v>
      </c>
      <c r="C51" s="9" t="s">
        <v>50</v>
      </c>
      <c r="D51" s="16" t="s">
        <v>7</v>
      </c>
      <c r="E51" s="11">
        <v>46321</v>
      </c>
      <c r="F51" s="11">
        <v>46339</v>
      </c>
      <c r="G51" s="7">
        <f t="shared" si="4"/>
        <v>19</v>
      </c>
      <c r="H51" s="7" t="s">
        <v>19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</row>
    <row r="52" spans="1:18" ht="30" customHeight="1" x14ac:dyDescent="0.25">
      <c r="A52" s="7">
        <v>31</v>
      </c>
      <c r="B52" s="8" t="s">
        <v>42</v>
      </c>
      <c r="C52" s="9" t="s">
        <v>51</v>
      </c>
      <c r="D52" s="16" t="s">
        <v>7</v>
      </c>
      <c r="E52" s="11">
        <v>46321</v>
      </c>
      <c r="F52" s="11">
        <v>46346</v>
      </c>
      <c r="G52" s="7">
        <f t="shared" si="4"/>
        <v>26</v>
      </c>
      <c r="H52" s="7" t="s">
        <v>19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</row>
    <row r="53" spans="1:18" ht="30" customHeight="1" x14ac:dyDescent="0.25">
      <c r="A53" s="7">
        <v>22</v>
      </c>
      <c r="B53" s="8" t="s">
        <v>30</v>
      </c>
      <c r="C53" s="9" t="s">
        <v>41</v>
      </c>
      <c r="D53" s="16" t="s">
        <v>7</v>
      </c>
      <c r="E53" s="11">
        <v>46323</v>
      </c>
      <c r="F53" s="11">
        <v>46332</v>
      </c>
      <c r="G53" s="7">
        <f t="shared" si="4"/>
        <v>10</v>
      </c>
      <c r="H53" s="7" t="s">
        <v>19</v>
      </c>
      <c r="I53" s="12"/>
      <c r="J53" s="12"/>
      <c r="K53" s="12"/>
      <c r="L53" s="12"/>
      <c r="M53" s="12"/>
      <c r="N53" s="12"/>
      <c r="O53" s="12"/>
      <c r="P53" s="12"/>
      <c r="Q53" s="12"/>
      <c r="R53" s="12"/>
    </row>
    <row r="54" spans="1:18" ht="19.5" customHeight="1" x14ac:dyDescent="0.25">
      <c r="A54" s="7">
        <v>41</v>
      </c>
      <c r="B54" s="8" t="s">
        <v>42</v>
      </c>
      <c r="C54" s="9" t="s">
        <v>61</v>
      </c>
      <c r="D54" s="16" t="s">
        <v>7</v>
      </c>
      <c r="E54" s="11">
        <v>46335</v>
      </c>
      <c r="F54" s="11">
        <v>46346</v>
      </c>
      <c r="G54" s="7">
        <f t="shared" si="4"/>
        <v>12</v>
      </c>
      <c r="H54" s="7" t="s">
        <v>19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</row>
    <row r="55" spans="1:18" ht="30" customHeight="1" x14ac:dyDescent="0.25">
      <c r="A55" s="7">
        <v>45</v>
      </c>
      <c r="B55" s="8" t="s">
        <v>42</v>
      </c>
      <c r="C55" s="9" t="s">
        <v>65</v>
      </c>
      <c r="D55" s="16" t="s">
        <v>7</v>
      </c>
      <c r="E55" s="11">
        <v>46342</v>
      </c>
      <c r="F55" s="11">
        <v>46353</v>
      </c>
      <c r="G55" s="7">
        <f t="shared" si="4"/>
        <v>12</v>
      </c>
      <c r="H55" s="7" t="s">
        <v>19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</row>
    <row r="56" spans="1:18" ht="30" customHeight="1" x14ac:dyDescent="0.25">
      <c r="A56" s="7">
        <v>53</v>
      </c>
      <c r="B56" s="8" t="s">
        <v>67</v>
      </c>
      <c r="C56" s="9" t="s">
        <v>74</v>
      </c>
      <c r="D56" s="16" t="s">
        <v>7</v>
      </c>
      <c r="E56" s="11">
        <v>46342</v>
      </c>
      <c r="F56" s="11">
        <v>46353</v>
      </c>
      <c r="G56" s="7">
        <f t="shared" si="4"/>
        <v>12</v>
      </c>
      <c r="H56" s="7" t="s">
        <v>19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</row>
    <row r="57" spans="1:18" ht="30" customHeight="1" x14ac:dyDescent="0.25">
      <c r="A57" s="7">
        <v>57</v>
      </c>
      <c r="B57" s="8" t="s">
        <v>67</v>
      </c>
      <c r="C57" s="9" t="s">
        <v>78</v>
      </c>
      <c r="D57" s="16" t="s">
        <v>7</v>
      </c>
      <c r="E57" s="11">
        <v>46349</v>
      </c>
      <c r="F57" s="11">
        <v>46358</v>
      </c>
      <c r="G57" s="7">
        <f t="shared" si="4"/>
        <v>10</v>
      </c>
      <c r="H57" s="7" t="s">
        <v>19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</row>
    <row r="58" spans="1:18" ht="19.5" customHeight="1" x14ac:dyDescent="0.25">
      <c r="A58" s="7">
        <v>61</v>
      </c>
      <c r="B58" s="8" t="s">
        <v>67</v>
      </c>
      <c r="C58" s="9" t="s">
        <v>82</v>
      </c>
      <c r="D58" s="16" t="s">
        <v>7</v>
      </c>
      <c r="E58" s="11">
        <v>46351</v>
      </c>
      <c r="F58" s="11">
        <v>46360</v>
      </c>
      <c r="G58" s="7">
        <f t="shared" si="4"/>
        <v>10</v>
      </c>
      <c r="H58" s="7" t="s">
        <v>19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</row>
    <row r="59" spans="1:18" ht="21.75" customHeight="1" x14ac:dyDescent="0.25">
      <c r="A59" s="48" t="s">
        <v>98</v>
      </c>
      <c r="B59" s="48"/>
      <c r="C59" s="48"/>
      <c r="D59" s="48"/>
      <c r="E59" s="48"/>
      <c r="F59" s="48"/>
      <c r="G59" s="48"/>
      <c r="H59" s="48"/>
      <c r="I59" s="26"/>
      <c r="J59" s="26"/>
      <c r="K59" s="26"/>
      <c r="L59" s="26"/>
      <c r="M59" s="26"/>
      <c r="N59" s="26"/>
      <c r="O59" s="26"/>
      <c r="P59" s="26"/>
      <c r="Q59" s="26"/>
      <c r="R59" s="26"/>
    </row>
    <row r="60" spans="1:18" ht="19.5" customHeight="1" x14ac:dyDescent="0.25">
      <c r="A60" s="7">
        <v>8</v>
      </c>
      <c r="B60" s="8" t="s">
        <v>17</v>
      </c>
      <c r="C60" s="9" t="s">
        <v>26</v>
      </c>
      <c r="D60" s="15" t="s">
        <v>8</v>
      </c>
      <c r="E60" s="11">
        <v>46300</v>
      </c>
      <c r="F60" s="11">
        <v>46309</v>
      </c>
      <c r="G60" s="7">
        <f t="shared" ref="G60:G73" si="5">F60-E60+1</f>
        <v>10</v>
      </c>
      <c r="H60" s="7" t="s">
        <v>19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</row>
    <row r="61" spans="1:18" ht="30" customHeight="1" x14ac:dyDescent="0.25">
      <c r="A61" s="7">
        <v>9</v>
      </c>
      <c r="B61" s="8" t="s">
        <v>17</v>
      </c>
      <c r="C61" s="9" t="s">
        <v>27</v>
      </c>
      <c r="D61" s="15" t="s">
        <v>8</v>
      </c>
      <c r="E61" s="11">
        <v>46300</v>
      </c>
      <c r="F61" s="11">
        <v>46311</v>
      </c>
      <c r="G61" s="7">
        <f t="shared" si="5"/>
        <v>12</v>
      </c>
      <c r="H61" s="7" t="s">
        <v>19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</row>
    <row r="62" spans="1:18" ht="19.5" customHeight="1" x14ac:dyDescent="0.25">
      <c r="A62" s="7">
        <v>17</v>
      </c>
      <c r="B62" s="8" t="s">
        <v>30</v>
      </c>
      <c r="C62" s="9" t="s">
        <v>36</v>
      </c>
      <c r="D62" s="15" t="s">
        <v>8</v>
      </c>
      <c r="E62" s="11">
        <v>46307</v>
      </c>
      <c r="F62" s="11">
        <v>46325</v>
      </c>
      <c r="G62" s="7">
        <f t="shared" si="5"/>
        <v>19</v>
      </c>
      <c r="H62" s="7" t="s">
        <v>19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</row>
    <row r="63" spans="1:18" ht="30" customHeight="1" x14ac:dyDescent="0.25">
      <c r="A63" s="7">
        <v>18</v>
      </c>
      <c r="B63" s="8" t="s">
        <v>30</v>
      </c>
      <c r="C63" s="9" t="s">
        <v>37</v>
      </c>
      <c r="D63" s="15" t="s">
        <v>8</v>
      </c>
      <c r="E63" s="11">
        <v>46307</v>
      </c>
      <c r="F63" s="11">
        <v>46322</v>
      </c>
      <c r="G63" s="7">
        <f t="shared" si="5"/>
        <v>16</v>
      </c>
      <c r="H63" s="7" t="s">
        <v>19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</row>
    <row r="64" spans="1:18" ht="19.5" customHeight="1" x14ac:dyDescent="0.25">
      <c r="A64" s="7">
        <v>21</v>
      </c>
      <c r="B64" s="8" t="s">
        <v>30</v>
      </c>
      <c r="C64" s="9" t="s">
        <v>40</v>
      </c>
      <c r="D64" s="15" t="s">
        <v>8</v>
      </c>
      <c r="E64" s="11">
        <v>46314</v>
      </c>
      <c r="F64" s="11">
        <v>46325</v>
      </c>
      <c r="G64" s="7">
        <f t="shared" si="5"/>
        <v>12</v>
      </c>
      <c r="H64" s="7" t="s">
        <v>19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</row>
    <row r="65" spans="1:18" ht="30" customHeight="1" x14ac:dyDescent="0.25">
      <c r="A65" s="7">
        <v>32</v>
      </c>
      <c r="B65" s="8" t="s">
        <v>42</v>
      </c>
      <c r="C65" s="9" t="s">
        <v>52</v>
      </c>
      <c r="D65" s="15" t="s">
        <v>8</v>
      </c>
      <c r="E65" s="11">
        <v>46321</v>
      </c>
      <c r="F65" s="11">
        <v>46346</v>
      </c>
      <c r="G65" s="7">
        <f t="shared" si="5"/>
        <v>26</v>
      </c>
      <c r="H65" s="7" t="s">
        <v>19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</row>
    <row r="66" spans="1:18" ht="19.5" customHeight="1" x14ac:dyDescent="0.25">
      <c r="A66" s="7">
        <v>36</v>
      </c>
      <c r="B66" s="8" t="s">
        <v>42</v>
      </c>
      <c r="C66" s="9" t="s">
        <v>56</v>
      </c>
      <c r="D66" s="15" t="s">
        <v>8</v>
      </c>
      <c r="E66" s="11">
        <v>46328</v>
      </c>
      <c r="F66" s="11">
        <v>46346</v>
      </c>
      <c r="G66" s="7">
        <f t="shared" si="5"/>
        <v>19</v>
      </c>
      <c r="H66" s="7" t="s">
        <v>19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</row>
    <row r="67" spans="1:18" ht="30" customHeight="1" x14ac:dyDescent="0.25">
      <c r="A67" s="7">
        <v>47</v>
      </c>
      <c r="B67" s="8" t="s">
        <v>67</v>
      </c>
      <c r="C67" s="9" t="s">
        <v>68</v>
      </c>
      <c r="D67" s="15" t="s">
        <v>8</v>
      </c>
      <c r="E67" s="11">
        <v>46335</v>
      </c>
      <c r="F67" s="11">
        <v>46358</v>
      </c>
      <c r="G67" s="7">
        <f t="shared" si="5"/>
        <v>24</v>
      </c>
      <c r="H67" s="7" t="s">
        <v>19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</row>
    <row r="68" spans="1:18" ht="30" customHeight="1" x14ac:dyDescent="0.25">
      <c r="A68" s="7">
        <v>48</v>
      </c>
      <c r="B68" s="8" t="s">
        <v>67</v>
      </c>
      <c r="C68" s="9" t="s">
        <v>69</v>
      </c>
      <c r="D68" s="15" t="s">
        <v>8</v>
      </c>
      <c r="E68" s="11">
        <v>46335</v>
      </c>
      <c r="F68" s="11">
        <v>46358</v>
      </c>
      <c r="G68" s="7">
        <f t="shared" si="5"/>
        <v>24</v>
      </c>
      <c r="H68" s="7" t="s">
        <v>19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</row>
    <row r="69" spans="1:18" ht="19.5" customHeight="1" x14ac:dyDescent="0.25">
      <c r="A69" s="7">
        <v>54</v>
      </c>
      <c r="B69" s="8" t="s">
        <v>67</v>
      </c>
      <c r="C69" s="9" t="s">
        <v>75</v>
      </c>
      <c r="D69" s="15" t="s">
        <v>8</v>
      </c>
      <c r="E69" s="11">
        <v>46342</v>
      </c>
      <c r="F69" s="11">
        <v>46360</v>
      </c>
      <c r="G69" s="7">
        <f t="shared" si="5"/>
        <v>19</v>
      </c>
      <c r="H69" s="7" t="s">
        <v>19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</row>
    <row r="70" spans="1:18" ht="19.5" customHeight="1" x14ac:dyDescent="0.25">
      <c r="A70" s="7">
        <v>55</v>
      </c>
      <c r="B70" s="8" t="s">
        <v>67</v>
      </c>
      <c r="C70" s="9" t="s">
        <v>76</v>
      </c>
      <c r="D70" s="15" t="s">
        <v>8</v>
      </c>
      <c r="E70" s="11">
        <v>46342</v>
      </c>
      <c r="F70" s="11">
        <v>46353</v>
      </c>
      <c r="G70" s="7">
        <f t="shared" si="5"/>
        <v>12</v>
      </c>
      <c r="H70" s="7" t="s">
        <v>19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</row>
    <row r="71" spans="1:18" ht="19.5" customHeight="1" x14ac:dyDescent="0.25">
      <c r="A71" s="7">
        <v>58</v>
      </c>
      <c r="B71" s="8" t="s">
        <v>67</v>
      </c>
      <c r="C71" s="9" t="s">
        <v>79</v>
      </c>
      <c r="D71" s="15" t="s">
        <v>8</v>
      </c>
      <c r="E71" s="11">
        <v>46349</v>
      </c>
      <c r="F71" s="11">
        <v>46358</v>
      </c>
      <c r="G71" s="7">
        <f t="shared" si="5"/>
        <v>10</v>
      </c>
      <c r="H71" s="7" t="s">
        <v>19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</row>
    <row r="72" spans="1:18" ht="19.5" customHeight="1" x14ac:dyDescent="0.25">
      <c r="A72" s="7">
        <v>59</v>
      </c>
      <c r="B72" s="8" t="s">
        <v>67</v>
      </c>
      <c r="C72" s="9" t="s">
        <v>80</v>
      </c>
      <c r="D72" s="15" t="s">
        <v>8</v>
      </c>
      <c r="E72" s="11">
        <v>46349</v>
      </c>
      <c r="F72" s="11">
        <v>46358</v>
      </c>
      <c r="G72" s="7">
        <f t="shared" si="5"/>
        <v>10</v>
      </c>
      <c r="H72" s="7" t="s">
        <v>19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</row>
    <row r="73" spans="1:18" ht="19.5" customHeight="1" x14ac:dyDescent="0.25">
      <c r="A73" s="7">
        <v>62</v>
      </c>
      <c r="B73" s="8" t="s">
        <v>67</v>
      </c>
      <c r="C73" s="9" t="s">
        <v>83</v>
      </c>
      <c r="D73" s="15" t="s">
        <v>8</v>
      </c>
      <c r="E73" s="11">
        <v>46352</v>
      </c>
      <c r="F73" s="11">
        <v>46358</v>
      </c>
      <c r="G73" s="7">
        <f t="shared" si="5"/>
        <v>7</v>
      </c>
      <c r="H73" s="7" t="s">
        <v>19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</row>
  </sheetData>
  <mergeCells count="11">
    <mergeCell ref="A6:H6"/>
    <mergeCell ref="A25:H25"/>
    <mergeCell ref="A37:H37"/>
    <mergeCell ref="A48:H48"/>
    <mergeCell ref="A59:H59"/>
    <mergeCell ref="A3:R3"/>
    <mergeCell ref="I4:J4"/>
    <mergeCell ref="K4:L4"/>
    <mergeCell ref="M4:N4"/>
    <mergeCell ref="O4:P4"/>
    <mergeCell ref="Q4:R4"/>
  </mergeCells>
  <conditionalFormatting sqref="I7:R24">
    <cfRule type="expression" dxfId="34" priority="2">
      <formula>AND($D7="Ali",$E7&lt;=I$5+6,$F7&gt;=I$5)</formula>
    </cfRule>
    <cfRule type="expression" dxfId="33" priority="3">
      <formula>AND($D7="Salma",$E7&lt;=I$5+6,$F7&gt;=I$5)</formula>
    </cfRule>
    <cfRule type="expression" dxfId="32" priority="4">
      <formula>AND($D7="Sara",$E7&lt;=I$5+6,$F7&gt;=I$5)</formula>
    </cfRule>
    <cfRule type="expression" dxfId="31" priority="5">
      <formula>AND($D7="Yasmeen",$E7&lt;=I$5+6,$F7&gt;=I$5)</formula>
    </cfRule>
    <cfRule type="expression" dxfId="30" priority="6">
      <formula>AND($D7="Jessy",$E7&lt;=I$5+6,$F7&gt;=I$5)</formula>
    </cfRule>
  </conditionalFormatting>
  <conditionalFormatting sqref="H7:H24">
    <cfRule type="expression" dxfId="29" priority="7">
      <formula>$H7="Done"</formula>
    </cfRule>
    <cfRule type="expression" dxfId="28" priority="8">
      <formula>$H7="In Progress"</formula>
    </cfRule>
  </conditionalFormatting>
  <conditionalFormatting sqref="I26:R36">
    <cfRule type="expression" dxfId="27" priority="9">
      <formula>AND($D26="Ali",$E26&lt;=I$5+6,$F26&gt;=I$5)</formula>
    </cfRule>
    <cfRule type="expression" dxfId="26" priority="10">
      <formula>AND($D26="Salma",$E26&lt;=I$5+6,$F26&gt;=I$5)</formula>
    </cfRule>
    <cfRule type="expression" dxfId="25" priority="11">
      <formula>AND($D26="Sara",$E26&lt;=I$5+6,$F26&gt;=I$5)</formula>
    </cfRule>
    <cfRule type="expression" dxfId="24" priority="12">
      <formula>AND($D26="Yasmeen",$E26&lt;=I$5+6,$F26&gt;=I$5)</formula>
    </cfRule>
    <cfRule type="expression" dxfId="23" priority="13">
      <formula>AND($D26="Jessy",$E26&lt;=I$5+6,$F26&gt;=I$5)</formula>
    </cfRule>
  </conditionalFormatting>
  <conditionalFormatting sqref="H26:H36">
    <cfRule type="expression" dxfId="22" priority="14">
      <formula>$H26="Done"</formula>
    </cfRule>
    <cfRule type="expression" dxfId="21" priority="15">
      <formula>$H26="In Progress"</formula>
    </cfRule>
  </conditionalFormatting>
  <conditionalFormatting sqref="I38:R47">
    <cfRule type="expression" dxfId="20" priority="16">
      <formula>AND($D38="Ali",$E38&lt;=I$5+6,$F38&gt;=I$5)</formula>
    </cfRule>
    <cfRule type="expression" dxfId="19" priority="17">
      <formula>AND($D38="Salma",$E38&lt;=I$5+6,$F38&gt;=I$5)</formula>
    </cfRule>
    <cfRule type="expression" dxfId="18" priority="18">
      <formula>AND($D38="Sara",$E38&lt;=I$5+6,$F38&gt;=I$5)</formula>
    </cfRule>
    <cfRule type="expression" dxfId="17" priority="19">
      <formula>AND($D38="Yasmeen",$E38&lt;=I$5+6,$F38&gt;=I$5)</formula>
    </cfRule>
    <cfRule type="expression" dxfId="16" priority="20">
      <formula>AND($D38="Jessy",$E38&lt;=I$5+6,$F38&gt;=I$5)</formula>
    </cfRule>
  </conditionalFormatting>
  <conditionalFormatting sqref="H38:H47">
    <cfRule type="expression" dxfId="15" priority="21">
      <formula>$H38="Done"</formula>
    </cfRule>
    <cfRule type="expression" dxfId="14" priority="22">
      <formula>$H38="In Progress"</formula>
    </cfRule>
  </conditionalFormatting>
  <conditionalFormatting sqref="I49:R58">
    <cfRule type="expression" dxfId="13" priority="23">
      <formula>AND($D49="Ali",$E49&lt;=I$5+6,$F49&gt;=I$5)</formula>
    </cfRule>
    <cfRule type="expression" dxfId="12" priority="24">
      <formula>AND($D49="Salma",$E49&lt;=I$5+6,$F49&gt;=I$5)</formula>
    </cfRule>
    <cfRule type="expression" dxfId="11" priority="25">
      <formula>AND($D49="Sara",$E49&lt;=I$5+6,$F49&gt;=I$5)</formula>
    </cfRule>
    <cfRule type="expression" dxfId="10" priority="26">
      <formula>AND($D49="Yasmeen",$E49&lt;=I$5+6,$F49&gt;=I$5)</formula>
    </cfRule>
    <cfRule type="expression" dxfId="9" priority="27">
      <formula>AND($D49="Jessy",$E49&lt;=I$5+6,$F49&gt;=I$5)</formula>
    </cfRule>
  </conditionalFormatting>
  <conditionalFormatting sqref="H49:H58">
    <cfRule type="expression" dxfId="8" priority="28">
      <formula>$H49="Done"</formula>
    </cfRule>
    <cfRule type="expression" dxfId="7" priority="29">
      <formula>$H49="In Progress"</formula>
    </cfRule>
  </conditionalFormatting>
  <conditionalFormatting sqref="I60:R73">
    <cfRule type="expression" dxfId="6" priority="30">
      <formula>AND($D60="Ali",$E60&lt;=I$5+6,$F60&gt;=I$5)</formula>
    </cfRule>
    <cfRule type="expression" dxfId="5" priority="31">
      <formula>AND($D60="Salma",$E60&lt;=I$5+6,$F60&gt;=I$5)</formula>
    </cfRule>
    <cfRule type="expression" dxfId="4" priority="32">
      <formula>AND($D60="Sara",$E60&lt;=I$5+6,$F60&gt;=I$5)</formula>
    </cfRule>
    <cfRule type="expression" dxfId="3" priority="33">
      <formula>AND($D60="Yasmeen",$E60&lt;=I$5+6,$F60&gt;=I$5)</formula>
    </cfRule>
    <cfRule type="expression" dxfId="2" priority="34">
      <formula>AND($D60="Jessy",$E60&lt;=I$5+6,$F60&gt;=I$5)</formula>
    </cfRule>
  </conditionalFormatting>
  <conditionalFormatting sqref="H60:H73">
    <cfRule type="expression" dxfId="1" priority="35">
      <formula>$H60="Done"</formula>
    </cfRule>
    <cfRule type="expression" dxfId="0" priority="36">
      <formula>$H60="In Progress"</formula>
    </cfRule>
  </conditionalFormatting>
  <dataValidations count="1">
    <dataValidation type="list" sqref="H7:H24 H60:H73 H49:H58 H38:H47 H26:H36" xr:uid="{00000000-0002-0000-0100-000000000000}">
      <formula1>"Not Started,In Progress,Done"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5"/>
  <sheetViews>
    <sheetView showGridLines="0" zoomScaleNormal="100" workbookViewId="0"/>
  </sheetViews>
  <sheetFormatPr defaultColWidth="8.7109375" defaultRowHeight="15" x14ac:dyDescent="0.25"/>
  <cols>
    <col min="1" max="1" width="16" customWidth="1"/>
    <col min="2" max="6" width="30" customWidth="1"/>
    <col min="7" max="7" width="44" customWidth="1"/>
  </cols>
  <sheetData>
    <row r="1" spans="1:8" ht="20.25" x14ac:dyDescent="0.3">
      <c r="A1" s="1" t="s">
        <v>99</v>
      </c>
    </row>
    <row r="2" spans="1:8" x14ac:dyDescent="0.25">
      <c r="A2" s="2" t="s">
        <v>1</v>
      </c>
    </row>
    <row r="3" spans="1:8" x14ac:dyDescent="0.25">
      <c r="A3" s="49" t="s">
        <v>100</v>
      </c>
      <c r="B3" s="49"/>
      <c r="C3" s="49"/>
      <c r="D3" s="49"/>
      <c r="E3" s="49"/>
      <c r="F3" s="49"/>
      <c r="G3" s="49"/>
      <c r="H3" s="49"/>
    </row>
    <row r="5" spans="1:8" ht="25.5" customHeight="1" x14ac:dyDescent="0.25">
      <c r="A5" s="27" t="s">
        <v>101</v>
      </c>
      <c r="B5" s="28" t="s">
        <v>4</v>
      </c>
      <c r="C5" s="29" t="s">
        <v>5</v>
      </c>
      <c r="D5" s="30" t="s">
        <v>6</v>
      </c>
      <c r="E5" s="31" t="s">
        <v>7</v>
      </c>
      <c r="F5" s="32" t="s">
        <v>8</v>
      </c>
      <c r="G5" s="27" t="s">
        <v>102</v>
      </c>
    </row>
    <row r="6" spans="1:8" ht="151.5" customHeight="1" x14ac:dyDescent="0.25">
      <c r="A6" s="33" t="s">
        <v>103</v>
      </c>
      <c r="B6" s="34" t="s">
        <v>104</v>
      </c>
      <c r="C6" s="34" t="s">
        <v>105</v>
      </c>
      <c r="D6" s="34" t="s">
        <v>106</v>
      </c>
      <c r="E6" s="34" t="s">
        <v>107</v>
      </c>
      <c r="F6" s="34" t="s">
        <v>108</v>
      </c>
      <c r="G6" s="35" t="s">
        <v>109</v>
      </c>
    </row>
    <row r="7" spans="1:8" ht="103.5" customHeight="1" x14ac:dyDescent="0.25">
      <c r="A7" s="33" t="s">
        <v>110</v>
      </c>
      <c r="B7" s="34" t="s">
        <v>111</v>
      </c>
      <c r="C7" s="34" t="s">
        <v>112</v>
      </c>
      <c r="D7" s="34" t="s">
        <v>113</v>
      </c>
      <c r="E7" s="34" t="s">
        <v>114</v>
      </c>
      <c r="F7" s="34" t="s">
        <v>115</v>
      </c>
      <c r="G7" s="35" t="s">
        <v>116</v>
      </c>
    </row>
    <row r="8" spans="1:8" ht="79.5" customHeight="1" x14ac:dyDescent="0.25">
      <c r="A8" s="33" t="s">
        <v>117</v>
      </c>
      <c r="B8" s="34" t="s">
        <v>118</v>
      </c>
      <c r="C8" s="34" t="s">
        <v>119</v>
      </c>
      <c r="D8" s="34" t="s">
        <v>120</v>
      </c>
      <c r="E8" s="34" t="s">
        <v>121</v>
      </c>
      <c r="F8" s="34" t="s">
        <v>122</v>
      </c>
      <c r="G8" s="35" t="s">
        <v>123</v>
      </c>
    </row>
    <row r="9" spans="1:8" ht="127.5" customHeight="1" x14ac:dyDescent="0.25">
      <c r="A9" s="33" t="s">
        <v>124</v>
      </c>
      <c r="B9" s="34" t="s">
        <v>125</v>
      </c>
      <c r="C9" s="34" t="s">
        <v>126</v>
      </c>
      <c r="D9" s="34" t="s">
        <v>127</v>
      </c>
      <c r="E9" s="34" t="s">
        <v>128</v>
      </c>
      <c r="F9" s="34" t="s">
        <v>129</v>
      </c>
      <c r="G9" s="35" t="s">
        <v>130</v>
      </c>
    </row>
    <row r="10" spans="1:8" ht="103.5" customHeight="1" x14ac:dyDescent="0.25">
      <c r="A10" s="33" t="s">
        <v>131</v>
      </c>
      <c r="B10" s="34" t="s">
        <v>132</v>
      </c>
      <c r="C10" s="34" t="s">
        <v>133</v>
      </c>
      <c r="D10" s="34" t="s">
        <v>134</v>
      </c>
      <c r="E10" s="34" t="s">
        <v>135</v>
      </c>
      <c r="F10" s="34" t="s">
        <v>136</v>
      </c>
      <c r="G10" s="35" t="s">
        <v>137</v>
      </c>
    </row>
    <row r="11" spans="1:8" ht="151.5" customHeight="1" x14ac:dyDescent="0.25">
      <c r="A11" s="33" t="s">
        <v>138</v>
      </c>
      <c r="B11" s="34" t="s">
        <v>139</v>
      </c>
      <c r="C11" s="34" t="s">
        <v>140</v>
      </c>
      <c r="D11" s="34" t="s">
        <v>141</v>
      </c>
      <c r="E11" s="34" t="s">
        <v>142</v>
      </c>
      <c r="F11" s="34" t="s">
        <v>143</v>
      </c>
      <c r="G11" s="35" t="s">
        <v>144</v>
      </c>
    </row>
    <row r="12" spans="1:8" ht="175.5" customHeight="1" x14ac:dyDescent="0.25">
      <c r="A12" s="33" t="s">
        <v>145</v>
      </c>
      <c r="B12" s="34" t="s">
        <v>146</v>
      </c>
      <c r="C12" s="34" t="s">
        <v>147</v>
      </c>
      <c r="D12" s="34" t="s">
        <v>148</v>
      </c>
      <c r="E12" s="34" t="s">
        <v>149</v>
      </c>
      <c r="F12" s="34" t="s">
        <v>150</v>
      </c>
      <c r="G12" s="35" t="s">
        <v>151</v>
      </c>
    </row>
    <row r="13" spans="1:8" ht="175.5" customHeight="1" x14ac:dyDescent="0.25">
      <c r="A13" s="33" t="s">
        <v>152</v>
      </c>
      <c r="B13" s="34" t="s">
        <v>153</v>
      </c>
      <c r="C13" s="34" t="s">
        <v>154</v>
      </c>
      <c r="D13" s="34" t="s">
        <v>155</v>
      </c>
      <c r="E13" s="34" t="s">
        <v>156</v>
      </c>
      <c r="F13" s="34" t="s">
        <v>157</v>
      </c>
      <c r="G13" s="35" t="s">
        <v>158</v>
      </c>
    </row>
    <row r="14" spans="1:8" ht="151.5" customHeight="1" x14ac:dyDescent="0.25">
      <c r="A14" s="33" t="s">
        <v>159</v>
      </c>
      <c r="B14" s="34" t="s">
        <v>160</v>
      </c>
      <c r="C14" s="34" t="s">
        <v>161</v>
      </c>
      <c r="D14" s="34" t="s">
        <v>162</v>
      </c>
      <c r="E14" s="34" t="s">
        <v>163</v>
      </c>
      <c r="F14" s="34" t="s">
        <v>164</v>
      </c>
      <c r="G14" s="35" t="s">
        <v>165</v>
      </c>
    </row>
    <row r="15" spans="1:8" ht="31.5" customHeight="1" x14ac:dyDescent="0.25">
      <c r="A15" s="36" t="s">
        <v>166</v>
      </c>
      <c r="B15" s="50" t="s">
        <v>167</v>
      </c>
      <c r="C15" s="50"/>
      <c r="D15" s="50"/>
      <c r="E15" s="50"/>
      <c r="F15" s="50"/>
      <c r="G15" s="50"/>
    </row>
  </sheetData>
  <mergeCells count="2">
    <mergeCell ref="A3:H3"/>
    <mergeCell ref="B15:G15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Gantt Chart</vt:lpstr>
      <vt:lpstr>By Person</vt:lpstr>
      <vt:lpstr>Weekly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Ali Elrouby</cp:lastModifiedBy>
  <cp:revision>0</cp:revision>
  <dcterms:created xsi:type="dcterms:W3CDTF">2026-10-04T15:51:51Z</dcterms:created>
  <dcterms:modified xsi:type="dcterms:W3CDTF">2026-10-10T20:43:38Z</dcterms:modified>
  <dc:language>en-US</dc:language>
</cp:coreProperties>
</file>